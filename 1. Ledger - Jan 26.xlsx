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ersonal\Focus\Account\2026\"/>
    </mc:Choice>
  </mc:AlternateContent>
  <xr:revisionPtr revIDLastSave="0" documentId="13_ncr:1_{1A85F034-E623-475B-8231-8AB880F0C327}" xr6:coauthVersionLast="47" xr6:coauthVersionMax="47" xr10:uidLastSave="{00000000-0000-0000-0000-000000000000}"/>
  <bookViews>
    <workbookView xWindow="-108" yWindow="-108" windowWidth="23256" windowHeight="12456" tabRatio="707" activeTab="2" xr2:uid="{00000000-000D-0000-FFFF-FFFF00000000}"/>
  </bookViews>
  <sheets>
    <sheet name="MS New" sheetId="45" r:id="rId1"/>
    <sheet name="tfr" sheetId="48" r:id="rId2"/>
    <sheet name="Income" sheetId="46" r:id="rId3"/>
    <sheet name="Br1 Income Exp - AugSep 25" sheetId="30" state="hidden" r:id="rId4"/>
    <sheet name="Br2 Income Exp - AugSep 25" sheetId="39" state="hidden" r:id="rId5"/>
    <sheet name="Expense" sheetId="47" r:id="rId6"/>
    <sheet name="pivot expense" sheetId="50" r:id="rId7"/>
    <sheet name="pivot income" sheetId="51" r:id="rId8"/>
  </sheets>
  <definedNames>
    <definedName name="_xlnm._FilterDatabase" localSheetId="3" hidden="1">'Br1 Income Exp - AugSep 25'!$V$12:$AA$88</definedName>
    <definedName name="_xlnm._FilterDatabase" localSheetId="4" hidden="1">'Br2 Income Exp - AugSep 25'!$U$12:$Z$17</definedName>
    <definedName name="_xlnm._FilterDatabase" localSheetId="5" hidden="1">Expense!$A$1:$F$83</definedName>
    <definedName name="_xlnm._FilterDatabase" localSheetId="2" hidden="1">Income!$A$1:$J$384</definedName>
    <definedName name="_xlnm.Print_Titles" localSheetId="2">Income!$1:$1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45" l="1"/>
  <c r="G379" i="46"/>
  <c r="G355" i="46"/>
  <c r="I210" i="46"/>
  <c r="E17" i="45"/>
  <c r="E16" i="45"/>
  <c r="E15" i="45"/>
  <c r="C3" i="48"/>
  <c r="G66" i="45"/>
  <c r="E19" i="47"/>
  <c r="E17" i="47" l="1"/>
  <c r="G380" i="46"/>
  <c r="G384" i="46"/>
  <c r="I98" i="46" l="1"/>
  <c r="I99" i="46"/>
  <c r="I100" i="46"/>
  <c r="I101" i="46"/>
  <c r="I102" i="46"/>
  <c r="I103" i="46"/>
  <c r="I104" i="46"/>
  <c r="I105" i="46"/>
  <c r="I106" i="46"/>
  <c r="I107" i="46"/>
  <c r="I108" i="46"/>
  <c r="I109" i="46"/>
  <c r="I110" i="46"/>
  <c r="I112" i="46"/>
  <c r="I113" i="46"/>
  <c r="I114" i="46"/>
  <c r="I3" i="46"/>
  <c r="I4" i="46"/>
  <c r="I5" i="46"/>
  <c r="I6" i="46"/>
  <c r="I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I23" i="46"/>
  <c r="I24" i="46"/>
  <c r="I25" i="46"/>
  <c r="I26" i="46"/>
  <c r="I27" i="46"/>
  <c r="I28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41" i="46"/>
  <c r="I42" i="46"/>
  <c r="I43" i="46"/>
  <c r="I44" i="46"/>
  <c r="I45" i="46"/>
  <c r="I46" i="46"/>
  <c r="I47" i="46"/>
  <c r="I48" i="46"/>
  <c r="I49" i="46"/>
  <c r="I50" i="46"/>
  <c r="I51" i="46"/>
  <c r="I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71" i="46"/>
  <c r="I72" i="46"/>
  <c r="I73" i="46"/>
  <c r="I74" i="46"/>
  <c r="I75" i="46"/>
  <c r="I76" i="46"/>
  <c r="I77" i="46"/>
  <c r="I78" i="46"/>
  <c r="I79" i="46"/>
  <c r="I80" i="46"/>
  <c r="I81" i="46"/>
  <c r="I82" i="46"/>
  <c r="I83" i="46"/>
  <c r="I84" i="46"/>
  <c r="I85" i="46"/>
  <c r="I86" i="46"/>
  <c r="I87" i="46"/>
  <c r="I88" i="46"/>
  <c r="I89" i="46"/>
  <c r="I90" i="46"/>
  <c r="I91" i="46"/>
  <c r="I92" i="46"/>
  <c r="I93" i="46"/>
  <c r="I94" i="46"/>
  <c r="I95" i="46"/>
  <c r="I96" i="46"/>
  <c r="I97" i="46"/>
  <c r="I115" i="46"/>
  <c r="I116" i="46"/>
  <c r="I117" i="46"/>
  <c r="I118" i="46"/>
  <c r="I119" i="46"/>
  <c r="I120" i="46"/>
  <c r="I121" i="46"/>
  <c r="I122" i="46"/>
  <c r="I123" i="46"/>
  <c r="I124" i="46"/>
  <c r="I125" i="46"/>
  <c r="I126" i="46"/>
  <c r="I127" i="46"/>
  <c r="I128" i="46"/>
  <c r="I129" i="46"/>
  <c r="I111" i="46"/>
  <c r="I130" i="46"/>
  <c r="I131" i="46"/>
  <c r="I132" i="46"/>
  <c r="I133" i="46"/>
  <c r="I134" i="46"/>
  <c r="I135" i="46"/>
  <c r="I136" i="46"/>
  <c r="I137" i="46"/>
  <c r="I138" i="46"/>
  <c r="I139" i="46"/>
  <c r="I140" i="46"/>
  <c r="I141" i="46"/>
  <c r="I142" i="46"/>
  <c r="I143" i="46"/>
  <c r="I144" i="46"/>
  <c r="I145" i="46"/>
  <c r="I146" i="46"/>
  <c r="I147" i="46"/>
  <c r="I148" i="46"/>
  <c r="I149" i="46"/>
  <c r="I150" i="46"/>
  <c r="I151" i="46"/>
  <c r="I152" i="46"/>
  <c r="I153" i="46"/>
  <c r="I154" i="46"/>
  <c r="I155" i="46"/>
  <c r="I156" i="46"/>
  <c r="I157" i="46"/>
  <c r="I158" i="46"/>
  <c r="I159" i="46"/>
  <c r="I160" i="46"/>
  <c r="I161" i="46"/>
  <c r="I162" i="46"/>
  <c r="I163" i="46"/>
  <c r="I164" i="46"/>
  <c r="I165" i="46"/>
  <c r="I166" i="46"/>
  <c r="I167" i="46"/>
  <c r="I168" i="46"/>
  <c r="I169" i="46"/>
  <c r="I170" i="46"/>
  <c r="I171" i="46"/>
  <c r="I172" i="46"/>
  <c r="I173" i="46"/>
  <c r="I174" i="46"/>
  <c r="I175" i="46"/>
  <c r="I176" i="46"/>
  <c r="I177" i="46"/>
  <c r="I178" i="46"/>
  <c r="I179" i="46"/>
  <c r="I180" i="46"/>
  <c r="I181" i="46"/>
  <c r="I182" i="46"/>
  <c r="I183" i="46"/>
  <c r="I184" i="46"/>
  <c r="I185" i="46"/>
  <c r="I186" i="46"/>
  <c r="I187" i="46"/>
  <c r="I188" i="46"/>
  <c r="I189" i="46"/>
  <c r="I190" i="46"/>
  <c r="I191" i="46"/>
  <c r="I192" i="46"/>
  <c r="I193" i="46"/>
  <c r="I194" i="46"/>
  <c r="I195" i="46"/>
  <c r="I196" i="46"/>
  <c r="I197" i="46"/>
  <c r="I198" i="46"/>
  <c r="I199" i="46"/>
  <c r="I200" i="46"/>
  <c r="I201" i="46"/>
  <c r="I202" i="46"/>
  <c r="I203" i="46"/>
  <c r="I204" i="46"/>
  <c r="I205" i="46"/>
  <c r="I206" i="46"/>
  <c r="I207" i="46"/>
  <c r="I208" i="46"/>
  <c r="I209" i="46"/>
  <c r="I211" i="46"/>
  <c r="I212" i="46"/>
  <c r="I213" i="46"/>
  <c r="I214" i="46"/>
  <c r="I215" i="46"/>
  <c r="I216" i="46"/>
  <c r="I217" i="46"/>
  <c r="I218" i="46"/>
  <c r="I219" i="46"/>
  <c r="I220" i="46"/>
  <c r="I221" i="46"/>
  <c r="F356" i="46" l="1"/>
  <c r="I235" i="46" l="1"/>
  <c r="I234" i="46"/>
  <c r="I233" i="46"/>
  <c r="I232" i="46"/>
  <c r="I231" i="46"/>
  <c r="I230" i="46"/>
  <c r="I229" i="46"/>
  <c r="I228" i="46"/>
  <c r="I227" i="46"/>
  <c r="I226" i="46"/>
  <c r="I225" i="46"/>
  <c r="I224" i="46"/>
  <c r="I223" i="46"/>
  <c r="I222" i="46"/>
  <c r="D24" i="45"/>
  <c r="G387" i="46" l="1"/>
  <c r="I60" i="45" l="1"/>
  <c r="I61" i="45" l="1"/>
  <c r="D44" i="45" l="1"/>
  <c r="D33" i="45"/>
  <c r="M63" i="45" l="1"/>
  <c r="F387" i="46" l="1"/>
  <c r="K322" i="46" l="1"/>
  <c r="K59" i="45" l="1"/>
  <c r="K61" i="45"/>
  <c r="I62" i="45" l="1"/>
  <c r="K60" i="45"/>
  <c r="K62" i="45" s="1"/>
  <c r="I366" i="46"/>
  <c r="I367" i="46"/>
  <c r="I368" i="46"/>
  <c r="I369" i="46"/>
  <c r="I370" i="46"/>
  <c r="I371" i="46"/>
  <c r="I372" i="46"/>
  <c r="I373" i="46"/>
  <c r="I374" i="46"/>
  <c r="I375" i="46"/>
  <c r="I376" i="46"/>
  <c r="I377" i="46"/>
  <c r="I378" i="46"/>
  <c r="I333" i="46"/>
  <c r="I332" i="46"/>
  <c r="E43" i="45" l="1"/>
  <c r="F4" i="45"/>
  <c r="F5" i="45"/>
  <c r="F6" i="45"/>
  <c r="F7" i="45"/>
  <c r="F8" i="45"/>
  <c r="F9" i="45"/>
  <c r="F3" i="45"/>
  <c r="E4" i="45"/>
  <c r="E5" i="45"/>
  <c r="E6" i="45"/>
  <c r="E7" i="45"/>
  <c r="E8" i="45"/>
  <c r="E9" i="45"/>
  <c r="E3" i="45"/>
  <c r="Z7" i="30" l="1"/>
  <c r="D5" i="45" l="1"/>
  <c r="D43" i="45" l="1"/>
  <c r="D42" i="45"/>
  <c r="D41" i="45"/>
  <c r="D40" i="45"/>
  <c r="D39" i="45"/>
  <c r="D38" i="45"/>
  <c r="D37" i="45"/>
  <c r="D36" i="45"/>
  <c r="D25" i="45"/>
  <c r="D26" i="45"/>
  <c r="D27" i="45"/>
  <c r="D28" i="45"/>
  <c r="D29" i="45"/>
  <c r="D30" i="45"/>
  <c r="D31" i="45"/>
  <c r="D32" i="45"/>
  <c r="C24" i="45"/>
  <c r="C25" i="45"/>
  <c r="C26" i="45"/>
  <c r="C27" i="45"/>
  <c r="C28" i="45"/>
  <c r="C29" i="45"/>
  <c r="C30" i="45"/>
  <c r="C31" i="45"/>
  <c r="C36" i="45"/>
  <c r="C37" i="45"/>
  <c r="C39" i="45"/>
  <c r="C40" i="45"/>
  <c r="C41" i="45"/>
  <c r="D45" i="45" l="1"/>
  <c r="D34" i="45"/>
  <c r="F24" i="45"/>
  <c r="F26" i="45"/>
  <c r="F28" i="45"/>
  <c r="F40" i="45"/>
  <c r="F31" i="45"/>
  <c r="F27" i="45"/>
  <c r="F41" i="45"/>
  <c r="F25" i="45"/>
  <c r="F30" i="45"/>
  <c r="F37" i="45"/>
  <c r="F29" i="45"/>
  <c r="F39" i="45"/>
  <c r="F36" i="45"/>
  <c r="D4" i="45"/>
  <c r="D6" i="45"/>
  <c r="D7" i="45"/>
  <c r="D8" i="45"/>
  <c r="D9" i="45"/>
  <c r="D3" i="45"/>
  <c r="C4" i="45"/>
  <c r="C5" i="45"/>
  <c r="C6" i="45"/>
  <c r="C7" i="45"/>
  <c r="C8" i="45"/>
  <c r="C9" i="45"/>
  <c r="C3" i="45"/>
  <c r="G3" i="45" l="1"/>
  <c r="B12" i="45" s="1"/>
  <c r="G9" i="45"/>
  <c r="B18" i="45" s="1"/>
  <c r="G8" i="45"/>
  <c r="B17" i="45" s="1"/>
  <c r="D17" i="45" s="1"/>
  <c r="G7" i="45"/>
  <c r="B16" i="45" s="1"/>
  <c r="D46" i="45"/>
  <c r="G6" i="45"/>
  <c r="B15" i="45" s="1"/>
  <c r="G5" i="45"/>
  <c r="B14" i="45" s="1"/>
  <c r="G4" i="45"/>
  <c r="B13" i="45" s="1"/>
  <c r="I255" i="46"/>
  <c r="I256" i="46"/>
  <c r="I257" i="46"/>
  <c r="I258" i="46"/>
  <c r="I259" i="46"/>
  <c r="I260" i="46"/>
  <c r="I261" i="46"/>
  <c r="I262" i="46"/>
  <c r="I263" i="46"/>
  <c r="I264" i="46"/>
  <c r="I265" i="46"/>
  <c r="I266" i="46"/>
  <c r="I267" i="46"/>
  <c r="I268" i="46"/>
  <c r="I269" i="46"/>
  <c r="I270" i="46"/>
  <c r="I271" i="46"/>
  <c r="I272" i="46"/>
  <c r="I273" i="46"/>
  <c r="I274" i="46"/>
  <c r="I275" i="46"/>
  <c r="I276" i="46"/>
  <c r="I277" i="46"/>
  <c r="I278" i="46"/>
  <c r="I279" i="46"/>
  <c r="I280" i="46"/>
  <c r="I281" i="46"/>
  <c r="I282" i="46"/>
  <c r="I283" i="46"/>
  <c r="I284" i="46"/>
  <c r="I285" i="46"/>
  <c r="I286" i="46"/>
  <c r="I287" i="46"/>
  <c r="I288" i="46"/>
  <c r="I289" i="46"/>
  <c r="I290" i="46"/>
  <c r="I291" i="46"/>
  <c r="I292" i="46"/>
  <c r="I293" i="46"/>
  <c r="I294" i="46"/>
  <c r="I295" i="46"/>
  <c r="I296" i="46"/>
  <c r="I317" i="46"/>
  <c r="I318" i="46"/>
  <c r="I319" i="46"/>
  <c r="I320" i="46"/>
  <c r="I321" i="46"/>
  <c r="I322" i="46"/>
  <c r="I323" i="46"/>
  <c r="I324" i="46"/>
  <c r="I325" i="46"/>
  <c r="I326" i="46"/>
  <c r="I327" i="46"/>
  <c r="I328" i="46"/>
  <c r="I329" i="46"/>
  <c r="I330" i="46"/>
  <c r="I331" i="46"/>
  <c r="I334" i="46"/>
  <c r="I335" i="46"/>
  <c r="I336" i="46"/>
  <c r="I337" i="46"/>
  <c r="I338" i="46"/>
  <c r="I339" i="46"/>
  <c r="I340" i="46"/>
  <c r="I341" i="46"/>
  <c r="I342" i="46"/>
  <c r="I343" i="46"/>
  <c r="I344" i="46"/>
  <c r="I345" i="46"/>
  <c r="I346" i="46"/>
  <c r="I347" i="46"/>
  <c r="I348" i="46"/>
  <c r="I349" i="46"/>
  <c r="I350" i="46"/>
  <c r="I351" i="46"/>
  <c r="I352" i="46"/>
  <c r="I353" i="46"/>
  <c r="I354" i="46"/>
  <c r="I355" i="46"/>
  <c r="I356" i="46"/>
  <c r="I358" i="46"/>
  <c r="I359" i="46"/>
  <c r="I360" i="46"/>
  <c r="I361" i="46"/>
  <c r="I362" i="46"/>
  <c r="I363" i="46"/>
  <c r="I364" i="46"/>
  <c r="I365" i="46"/>
  <c r="L132" i="39"/>
  <c r="I298" i="46"/>
  <c r="I299" i="46"/>
  <c r="I300" i="46"/>
  <c r="I301" i="46"/>
  <c r="I302" i="46"/>
  <c r="I303" i="46"/>
  <c r="I304" i="46"/>
  <c r="I305" i="46"/>
  <c r="I306" i="46"/>
  <c r="I307" i="46"/>
  <c r="I308" i="46"/>
  <c r="I309" i="46"/>
  <c r="I310" i="46"/>
  <c r="I311" i="46"/>
  <c r="I312" i="46"/>
  <c r="I313" i="46"/>
  <c r="I314" i="46"/>
  <c r="I315" i="46"/>
  <c r="I316" i="46"/>
  <c r="E41" i="45" l="1"/>
  <c r="E40" i="45"/>
  <c r="E39" i="45"/>
  <c r="E37" i="45"/>
  <c r="C42" i="45"/>
  <c r="C43" i="45"/>
  <c r="C32" i="45"/>
  <c r="F32" i="45" s="1"/>
  <c r="C38" i="45"/>
  <c r="I357" i="46"/>
  <c r="E42" i="45" s="1"/>
  <c r="I297" i="46"/>
  <c r="E38" i="45" s="1"/>
  <c r="B19" i="45"/>
  <c r="I236" i="46"/>
  <c r="I237" i="46"/>
  <c r="I238" i="46"/>
  <c r="I239" i="46"/>
  <c r="I240" i="46"/>
  <c r="I241" i="46"/>
  <c r="I242" i="46"/>
  <c r="I243" i="46"/>
  <c r="I244" i="46"/>
  <c r="I245" i="46"/>
  <c r="I246" i="46"/>
  <c r="I247" i="46"/>
  <c r="I248" i="46"/>
  <c r="I249" i="46"/>
  <c r="I250" i="46"/>
  <c r="I251" i="46"/>
  <c r="I252" i="46"/>
  <c r="I253" i="46"/>
  <c r="I254" i="46"/>
  <c r="I2" i="46"/>
  <c r="E30" i="45" l="1"/>
  <c r="E32" i="45"/>
  <c r="E29" i="45"/>
  <c r="E31" i="45"/>
  <c r="E28" i="45"/>
  <c r="E25" i="45"/>
  <c r="E26" i="45"/>
  <c r="E27" i="45"/>
  <c r="E24" i="45"/>
  <c r="E36" i="45"/>
  <c r="E45" i="45" s="1"/>
  <c r="I387" i="46"/>
  <c r="K65" i="45"/>
  <c r="K66" i="45" s="1"/>
  <c r="M66" i="45" s="1"/>
  <c r="M67" i="45" s="1"/>
  <c r="F42" i="45"/>
  <c r="C45" i="45"/>
  <c r="F43" i="45"/>
  <c r="F38" i="45"/>
  <c r="C34" i="45"/>
  <c r="E34" i="45" l="1"/>
  <c r="E46" i="45" s="1"/>
  <c r="C46" i="45"/>
  <c r="Y5" i="30"/>
  <c r="Y4" i="30"/>
  <c r="Y15" i="30" l="1"/>
  <c r="Y14" i="30" l="1"/>
  <c r="R12" i="30" l="1"/>
  <c r="T12" i="30" s="1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196" i="30"/>
  <c r="H195" i="30"/>
  <c r="H194" i="30"/>
  <c r="H193" i="30"/>
  <c r="H192" i="30"/>
  <c r="H191" i="30"/>
  <c r="H190" i="30"/>
  <c r="H189" i="30"/>
  <c r="H188" i="30"/>
  <c r="H187" i="30"/>
  <c r="H186" i="30"/>
  <c r="H185" i="30"/>
  <c r="H184" i="30"/>
  <c r="H183" i="30"/>
  <c r="H182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11" i="30"/>
  <c r="H112" i="30"/>
  <c r="H113" i="30"/>
  <c r="H114" i="30"/>
  <c r="H115" i="30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10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H96" i="30"/>
  <c r="H97" i="30"/>
  <c r="H98" i="30"/>
  <c r="H99" i="30"/>
  <c r="H100" i="30"/>
  <c r="H101" i="30"/>
  <c r="H102" i="30"/>
  <c r="H103" i="30"/>
  <c r="H104" i="30"/>
  <c r="H105" i="30"/>
  <c r="H75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39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4" i="30"/>
  <c r="X14" i="39" l="1"/>
  <c r="H161" i="39" l="1"/>
  <c r="H162" i="39"/>
  <c r="H163" i="39"/>
  <c r="H164" i="39"/>
  <c r="H165" i="39"/>
  <c r="H166" i="39"/>
  <c r="H167" i="39"/>
  <c r="H168" i="39"/>
  <c r="H169" i="39"/>
  <c r="H170" i="39"/>
  <c r="H171" i="39"/>
  <c r="H160" i="39"/>
  <c r="H149" i="39"/>
  <c r="H150" i="39"/>
  <c r="H151" i="39"/>
  <c r="H152" i="39"/>
  <c r="H153" i="39"/>
  <c r="H154" i="39"/>
  <c r="H155" i="39"/>
  <c r="H156" i="39"/>
  <c r="H148" i="39"/>
  <c r="H137" i="39"/>
  <c r="H138" i="39"/>
  <c r="H139" i="39"/>
  <c r="H140" i="39"/>
  <c r="H141" i="39"/>
  <c r="H142" i="39"/>
  <c r="H143" i="39"/>
  <c r="H144" i="39"/>
  <c r="H136" i="39"/>
  <c r="H118" i="39"/>
  <c r="H119" i="39"/>
  <c r="H120" i="39"/>
  <c r="H121" i="39"/>
  <c r="H122" i="39"/>
  <c r="H123" i="39"/>
  <c r="H124" i="39"/>
  <c r="H125" i="39"/>
  <c r="H126" i="39"/>
  <c r="H127" i="39"/>
  <c r="H128" i="39"/>
  <c r="H129" i="39"/>
  <c r="H130" i="39"/>
  <c r="H131" i="39"/>
  <c r="H117" i="39"/>
  <c r="H99" i="39"/>
  <c r="H100" i="39"/>
  <c r="H101" i="39"/>
  <c r="H102" i="39"/>
  <c r="H103" i="39"/>
  <c r="H104" i="39"/>
  <c r="H105" i="39"/>
  <c r="H106" i="39"/>
  <c r="H107" i="39"/>
  <c r="H108" i="39"/>
  <c r="H110" i="39"/>
  <c r="H111" i="39"/>
  <c r="H112" i="39"/>
  <c r="H98" i="39"/>
  <c r="H75" i="39"/>
  <c r="H76" i="39"/>
  <c r="H77" i="39"/>
  <c r="H78" i="39"/>
  <c r="H79" i="39"/>
  <c r="H80" i="39"/>
  <c r="H81" i="39"/>
  <c r="H82" i="39"/>
  <c r="H83" i="39"/>
  <c r="H84" i="39"/>
  <c r="H85" i="39"/>
  <c r="H86" i="39"/>
  <c r="H87" i="39"/>
  <c r="H88" i="39"/>
  <c r="H89" i="39"/>
  <c r="H90" i="39"/>
  <c r="H91" i="39"/>
  <c r="H92" i="39"/>
  <c r="H93" i="39"/>
  <c r="H94" i="39"/>
  <c r="H74" i="39"/>
  <c r="H42" i="39"/>
  <c r="H43" i="39"/>
  <c r="H44" i="39"/>
  <c r="H45" i="39"/>
  <c r="H46" i="39"/>
  <c r="H47" i="39"/>
  <c r="H48" i="39"/>
  <c r="H49" i="39"/>
  <c r="H50" i="39"/>
  <c r="H51" i="39"/>
  <c r="H52" i="39"/>
  <c r="H53" i="39"/>
  <c r="H54" i="39"/>
  <c r="H55" i="39"/>
  <c r="H56" i="39"/>
  <c r="H57" i="39"/>
  <c r="H58" i="39"/>
  <c r="H59" i="39"/>
  <c r="H60" i="39"/>
  <c r="H61" i="39"/>
  <c r="H62" i="39"/>
  <c r="H63" i="39"/>
  <c r="H64" i="39"/>
  <c r="H65" i="39"/>
  <c r="H66" i="39"/>
  <c r="H67" i="39"/>
  <c r="H68" i="39"/>
  <c r="H41" i="39"/>
  <c r="H5" i="39"/>
  <c r="H6" i="39"/>
  <c r="H7" i="39"/>
  <c r="J7" i="39" s="1"/>
  <c r="L7" i="39" s="1"/>
  <c r="H8" i="39"/>
  <c r="H9" i="39"/>
  <c r="J9" i="39" s="1"/>
  <c r="L9" i="39" s="1"/>
  <c r="H10" i="39"/>
  <c r="H11" i="39"/>
  <c r="H12" i="39"/>
  <c r="J12" i="39" s="1"/>
  <c r="L12" i="39" s="1"/>
  <c r="H13" i="39"/>
  <c r="J13" i="39" s="1"/>
  <c r="L13" i="39" s="1"/>
  <c r="H14" i="39"/>
  <c r="J14" i="39" s="1"/>
  <c r="L14" i="39" s="1"/>
  <c r="H15" i="39"/>
  <c r="J15" i="39" s="1"/>
  <c r="L15" i="39" s="1"/>
  <c r="H16" i="39"/>
  <c r="J16" i="39" s="1"/>
  <c r="L16" i="39" s="1"/>
  <c r="H17" i="39"/>
  <c r="J17" i="39" s="1"/>
  <c r="L17" i="39" s="1"/>
  <c r="H18" i="39"/>
  <c r="H19" i="39"/>
  <c r="H20" i="39"/>
  <c r="H21" i="39"/>
  <c r="J21" i="39" s="1"/>
  <c r="L21" i="39" s="1"/>
  <c r="H22" i="39"/>
  <c r="H23" i="39"/>
  <c r="H24" i="39"/>
  <c r="J24" i="39" s="1"/>
  <c r="L24" i="39" s="1"/>
  <c r="H25" i="39"/>
  <c r="H26" i="39"/>
  <c r="H27" i="39"/>
  <c r="J27" i="39" s="1"/>
  <c r="L27" i="39" s="1"/>
  <c r="H28" i="39"/>
  <c r="J28" i="39" s="1"/>
  <c r="L28" i="39" s="1"/>
  <c r="H29" i="39"/>
  <c r="J29" i="39" s="1"/>
  <c r="L29" i="39" s="1"/>
  <c r="H30" i="39"/>
  <c r="H31" i="39"/>
  <c r="H32" i="39"/>
  <c r="H33" i="39"/>
  <c r="H34" i="39"/>
  <c r="H35" i="39"/>
  <c r="H36" i="39"/>
  <c r="H37" i="39"/>
  <c r="J37" i="39" s="1"/>
  <c r="L37" i="39" s="1"/>
  <c r="H4" i="39"/>
  <c r="J8" i="39"/>
  <c r="L8" i="39" s="1"/>
  <c r="J10" i="39"/>
  <c r="L10" i="39" s="1"/>
  <c r="J11" i="39"/>
  <c r="L11" i="39" s="1"/>
  <c r="J18" i="39"/>
  <c r="L18" i="39" s="1"/>
  <c r="J19" i="39"/>
  <c r="L19" i="39" s="1"/>
  <c r="J20" i="39"/>
  <c r="L20" i="39" s="1"/>
  <c r="J22" i="39"/>
  <c r="L22" i="39" s="1"/>
  <c r="J23" i="39"/>
  <c r="L23" i="39" s="1"/>
  <c r="J25" i="39"/>
  <c r="L25" i="39" s="1"/>
  <c r="J26" i="39"/>
  <c r="L26" i="39" s="1"/>
  <c r="J30" i="39"/>
  <c r="L30" i="39" s="1"/>
  <c r="J31" i="39"/>
  <c r="L31" i="39" s="1"/>
  <c r="J32" i="39"/>
  <c r="L32" i="39" s="1"/>
  <c r="J33" i="39"/>
  <c r="L33" i="39" s="1"/>
  <c r="J34" i="39"/>
  <c r="L34" i="39" s="1"/>
  <c r="J35" i="39"/>
  <c r="L35" i="39" s="1"/>
  <c r="J36" i="39"/>
  <c r="L36" i="39" s="1"/>
  <c r="Q4" i="39" l="1"/>
  <c r="Q6" i="39"/>
  <c r="Q7" i="39"/>
  <c r="Q8" i="39"/>
  <c r="Q10" i="39"/>
  <c r="Q11" i="39"/>
  <c r="Q13" i="39"/>
  <c r="Q14" i="39"/>
  <c r="Q15" i="39"/>
  <c r="Q3" i="39"/>
  <c r="R4" i="30"/>
  <c r="R5" i="30"/>
  <c r="R6" i="30"/>
  <c r="R7" i="30"/>
  <c r="R8" i="30"/>
  <c r="R9" i="30"/>
  <c r="R10" i="30"/>
  <c r="R11" i="30"/>
  <c r="R13" i="30"/>
  <c r="R14" i="30"/>
  <c r="R15" i="30"/>
  <c r="R16" i="30"/>
  <c r="R3" i="30"/>
  <c r="I36" i="30" l="1"/>
  <c r="J35" i="30"/>
  <c r="L35" i="30" s="1"/>
  <c r="H36" i="30"/>
  <c r="F36" i="30"/>
  <c r="I38" i="39" l="1"/>
  <c r="H38" i="39"/>
  <c r="F38" i="39"/>
  <c r="S12" i="39" l="1"/>
  <c r="I158" i="30" l="1"/>
  <c r="J157" i="30"/>
  <c r="L157" i="30" s="1"/>
  <c r="H158" i="30"/>
  <c r="F158" i="30"/>
  <c r="Q17" i="30" l="1"/>
  <c r="T10" i="30"/>
  <c r="J253" i="30"/>
  <c r="L253" i="30" s="1"/>
  <c r="J252" i="30"/>
  <c r="L252" i="30" s="1"/>
  <c r="I255" i="30"/>
  <c r="H255" i="30"/>
  <c r="F255" i="30"/>
  <c r="I132" i="30"/>
  <c r="H132" i="30"/>
  <c r="F132" i="30"/>
  <c r="J155" i="30"/>
  <c r="L155" i="30" s="1"/>
  <c r="J117" i="30"/>
  <c r="I145" i="39" l="1"/>
  <c r="H145" i="39"/>
  <c r="J137" i="39"/>
  <c r="L137" i="39" s="1"/>
  <c r="J138" i="39"/>
  <c r="L138" i="39" s="1"/>
  <c r="J139" i="39"/>
  <c r="L139" i="39" s="1"/>
  <c r="J140" i="39"/>
  <c r="L140" i="39" s="1"/>
  <c r="J141" i="39"/>
  <c r="L141" i="39" s="1"/>
  <c r="J142" i="39"/>
  <c r="L142" i="39" s="1"/>
  <c r="J143" i="39"/>
  <c r="L143" i="39" s="1"/>
  <c r="J144" i="39"/>
  <c r="L144" i="39" s="1"/>
  <c r="I114" i="39"/>
  <c r="H114" i="39"/>
  <c r="F114" i="39"/>
  <c r="I172" i="39"/>
  <c r="J171" i="39"/>
  <c r="F145" i="39"/>
  <c r="J131" i="39"/>
  <c r="L131" i="39" s="1"/>
  <c r="J130" i="39"/>
  <c r="L130" i="39" s="1"/>
  <c r="I133" i="39"/>
  <c r="H133" i="39"/>
  <c r="F133" i="39"/>
  <c r="J112" i="39"/>
  <c r="L112" i="39" s="1"/>
  <c r="J111" i="39"/>
  <c r="L111" i="39" s="1"/>
  <c r="J94" i="39"/>
  <c r="I95" i="39"/>
  <c r="H95" i="39"/>
  <c r="J5" i="39"/>
  <c r="L5" i="39" s="1"/>
  <c r="J6" i="39"/>
  <c r="L6" i="39" s="1"/>
  <c r="J4" i="39"/>
  <c r="L4" i="39" s="1"/>
  <c r="J38" i="39" l="1"/>
  <c r="J229" i="30" l="1"/>
  <c r="L229" i="30" s="1"/>
  <c r="J228" i="30"/>
  <c r="L228" i="30" s="1"/>
  <c r="J227" i="30"/>
  <c r="L227" i="30" s="1"/>
  <c r="H230" i="30"/>
  <c r="J153" i="30"/>
  <c r="L153" i="30" s="1"/>
  <c r="J83" i="30"/>
  <c r="L83" i="30" s="1"/>
  <c r="I106" i="30"/>
  <c r="J105" i="30"/>
  <c r="L105" i="30" s="1"/>
  <c r="J104" i="30"/>
  <c r="L104" i="30" s="1"/>
  <c r="H106" i="30"/>
  <c r="I230" i="30"/>
  <c r="F230" i="30"/>
  <c r="F106" i="30"/>
  <c r="J69" i="30"/>
  <c r="L69" i="30" s="1"/>
  <c r="J68" i="30"/>
  <c r="L68" i="30" s="1"/>
  <c r="J67" i="30"/>
  <c r="L67" i="30" s="1"/>
  <c r="J66" i="30"/>
  <c r="L66" i="30" s="1"/>
  <c r="J65" i="30"/>
  <c r="L65" i="30" s="1"/>
  <c r="J64" i="30"/>
  <c r="L64" i="30" s="1"/>
  <c r="J63" i="30"/>
  <c r="L63" i="30" s="1"/>
  <c r="J62" i="30"/>
  <c r="L62" i="30" s="1"/>
  <c r="J61" i="30"/>
  <c r="L61" i="30" s="1"/>
  <c r="J60" i="30"/>
  <c r="L60" i="30" s="1"/>
  <c r="J59" i="30"/>
  <c r="L59" i="30" s="1"/>
  <c r="J58" i="30"/>
  <c r="L58" i="30" s="1"/>
  <c r="J57" i="30"/>
  <c r="L57" i="30" s="1"/>
  <c r="J56" i="30"/>
  <c r="L56" i="30" s="1"/>
  <c r="J55" i="30"/>
  <c r="L55" i="30" s="1"/>
  <c r="J54" i="30"/>
  <c r="L54" i="30" s="1"/>
  <c r="J53" i="30"/>
  <c r="L53" i="30" s="1"/>
  <c r="J52" i="30"/>
  <c r="L52" i="30" s="1"/>
  <c r="J51" i="30"/>
  <c r="L51" i="30" s="1"/>
  <c r="J50" i="30"/>
  <c r="L50" i="30" s="1"/>
  <c r="J49" i="30"/>
  <c r="L49" i="30" s="1"/>
  <c r="J48" i="30"/>
  <c r="L48" i="30" s="1"/>
  <c r="J47" i="30"/>
  <c r="L47" i="30" s="1"/>
  <c r="J46" i="30"/>
  <c r="L46" i="30" s="1"/>
  <c r="J45" i="30"/>
  <c r="L45" i="30" s="1"/>
  <c r="J44" i="30"/>
  <c r="L44" i="30" s="1"/>
  <c r="J43" i="30"/>
  <c r="L43" i="30" s="1"/>
  <c r="J42" i="30"/>
  <c r="L42" i="30" s="1"/>
  <c r="J41" i="30"/>
  <c r="L41" i="30" s="1"/>
  <c r="J40" i="30"/>
  <c r="L40" i="30" s="1"/>
  <c r="J39" i="30"/>
  <c r="L39" i="30" s="1"/>
  <c r="I70" i="30"/>
  <c r="H70" i="30"/>
  <c r="F70" i="30"/>
  <c r="J103" i="30"/>
  <c r="L103" i="30" s="1"/>
  <c r="J70" i="30" l="1"/>
  <c r="J34" i="30" l="1"/>
  <c r="L34" i="30" s="1"/>
  <c r="J33" i="30"/>
  <c r="L33" i="30" s="1"/>
  <c r="J32" i="30"/>
  <c r="L32" i="30" s="1"/>
  <c r="J31" i="30"/>
  <c r="L31" i="30" s="1"/>
  <c r="J30" i="30"/>
  <c r="L30" i="30" s="1"/>
  <c r="J29" i="30"/>
  <c r="L29" i="30" s="1"/>
  <c r="J28" i="30"/>
  <c r="L28" i="30" s="1"/>
  <c r="J27" i="30"/>
  <c r="L27" i="30" s="1"/>
  <c r="J26" i="30"/>
  <c r="L26" i="30" s="1"/>
  <c r="S10" i="39" l="1"/>
  <c r="J86" i="39" l="1"/>
  <c r="J87" i="39"/>
  <c r="J88" i="39"/>
  <c r="J89" i="39"/>
  <c r="J90" i="39"/>
  <c r="J91" i="39"/>
  <c r="J92" i="39"/>
  <c r="J93" i="39"/>
  <c r="J88" i="30" l="1"/>
  <c r="L88" i="30" s="1"/>
  <c r="J89" i="30"/>
  <c r="L89" i="30" s="1"/>
  <c r="J90" i="30"/>
  <c r="L90" i="30" s="1"/>
  <c r="J91" i="30"/>
  <c r="L91" i="30" s="1"/>
  <c r="J92" i="30"/>
  <c r="L92" i="30" s="1"/>
  <c r="J93" i="30"/>
  <c r="L93" i="30" s="1"/>
  <c r="J94" i="30"/>
  <c r="L94" i="30" s="1"/>
  <c r="J95" i="30"/>
  <c r="L95" i="30" s="1"/>
  <c r="J96" i="30"/>
  <c r="L96" i="30" s="1"/>
  <c r="J97" i="30"/>
  <c r="L97" i="30" s="1"/>
  <c r="J98" i="30"/>
  <c r="L98" i="30" s="1"/>
  <c r="J99" i="30"/>
  <c r="L99" i="30" s="1"/>
  <c r="J100" i="30"/>
  <c r="L100" i="30" s="1"/>
  <c r="J101" i="30"/>
  <c r="L101" i="30" s="1"/>
  <c r="J102" i="30"/>
  <c r="L102" i="30" s="1"/>
  <c r="S11" i="39" l="1"/>
  <c r="H172" i="39" l="1"/>
  <c r="J160" i="39"/>
  <c r="J161" i="39"/>
  <c r="J162" i="39"/>
  <c r="J163" i="39"/>
  <c r="J164" i="39"/>
  <c r="J165" i="39"/>
  <c r="J166" i="39"/>
  <c r="J167" i="39"/>
  <c r="J168" i="39"/>
  <c r="J169" i="39"/>
  <c r="J170" i="39"/>
  <c r="F172" i="39"/>
  <c r="J172" i="39" l="1"/>
  <c r="I70" i="39"/>
  <c r="H70" i="39"/>
  <c r="F70" i="39"/>
  <c r="T11" i="30" l="1"/>
  <c r="S6" i="39" l="1"/>
  <c r="R16" i="39" l="1"/>
  <c r="I157" i="39"/>
  <c r="F157" i="39"/>
  <c r="F95" i="39"/>
  <c r="J129" i="39" l="1"/>
  <c r="L129" i="39" s="1"/>
  <c r="Q16" i="39" l="1"/>
  <c r="F278" i="30"/>
  <c r="I278" i="30" l="1"/>
  <c r="J210" i="30"/>
  <c r="L210" i="30" s="1"/>
  <c r="J196" i="30"/>
  <c r="L196" i="30" s="1"/>
  <c r="J261" i="30" l="1"/>
  <c r="J259" i="30"/>
  <c r="J260" i="30"/>
  <c r="J262" i="30"/>
  <c r="J263" i="30"/>
  <c r="J264" i="30"/>
  <c r="J265" i="30"/>
  <c r="J266" i="30"/>
  <c r="J267" i="30"/>
  <c r="J268" i="30"/>
  <c r="J269" i="30"/>
  <c r="J270" i="30"/>
  <c r="J271" i="30"/>
  <c r="J272" i="30"/>
  <c r="J273" i="30"/>
  <c r="J274" i="30"/>
  <c r="J275" i="30"/>
  <c r="J276" i="30"/>
  <c r="J277" i="30"/>
  <c r="J258" i="30"/>
  <c r="J235" i="30"/>
  <c r="L235" i="30" s="1"/>
  <c r="J236" i="30"/>
  <c r="L236" i="30" s="1"/>
  <c r="J237" i="30"/>
  <c r="L237" i="30" s="1"/>
  <c r="J238" i="30"/>
  <c r="L238" i="30" s="1"/>
  <c r="J239" i="30"/>
  <c r="L239" i="30" s="1"/>
  <c r="J240" i="30"/>
  <c r="L240" i="30" s="1"/>
  <c r="J241" i="30"/>
  <c r="L241" i="30" s="1"/>
  <c r="J242" i="30"/>
  <c r="L242" i="30" s="1"/>
  <c r="J243" i="30"/>
  <c r="L243" i="30" s="1"/>
  <c r="J244" i="30"/>
  <c r="L244" i="30" s="1"/>
  <c r="J245" i="30"/>
  <c r="L245" i="30" s="1"/>
  <c r="J246" i="30"/>
  <c r="L246" i="30" s="1"/>
  <c r="J247" i="30"/>
  <c r="L247" i="30" s="1"/>
  <c r="J248" i="30"/>
  <c r="L248" i="30" s="1"/>
  <c r="J249" i="30"/>
  <c r="L249" i="30" s="1"/>
  <c r="J250" i="30"/>
  <c r="L250" i="30" s="1"/>
  <c r="J251" i="30"/>
  <c r="L251" i="30" s="1"/>
  <c r="J234" i="30"/>
  <c r="L234" i="30" s="1"/>
  <c r="J202" i="30"/>
  <c r="L202" i="30" s="1"/>
  <c r="J203" i="30"/>
  <c r="L203" i="30" s="1"/>
  <c r="J204" i="30"/>
  <c r="L204" i="30" s="1"/>
  <c r="J205" i="30"/>
  <c r="L205" i="30" s="1"/>
  <c r="J206" i="30"/>
  <c r="L206" i="30" s="1"/>
  <c r="J207" i="30"/>
  <c r="L207" i="30" s="1"/>
  <c r="J208" i="30"/>
  <c r="L208" i="30" s="1"/>
  <c r="J209" i="30"/>
  <c r="L209" i="30" s="1"/>
  <c r="J211" i="30"/>
  <c r="L211" i="30" s="1"/>
  <c r="J212" i="30"/>
  <c r="L212" i="30" s="1"/>
  <c r="J213" i="30"/>
  <c r="L213" i="30" s="1"/>
  <c r="J214" i="30"/>
  <c r="L214" i="30" s="1"/>
  <c r="J215" i="30"/>
  <c r="L215" i="30" s="1"/>
  <c r="J216" i="30"/>
  <c r="L216" i="30" s="1"/>
  <c r="J217" i="30"/>
  <c r="L217" i="30" s="1"/>
  <c r="J218" i="30"/>
  <c r="L218" i="30" s="1"/>
  <c r="J219" i="30"/>
  <c r="L219" i="30" s="1"/>
  <c r="J220" i="30"/>
  <c r="L220" i="30" s="1"/>
  <c r="J221" i="30"/>
  <c r="L221" i="30" s="1"/>
  <c r="J222" i="30"/>
  <c r="L222" i="30" s="1"/>
  <c r="J223" i="30"/>
  <c r="L223" i="30" s="1"/>
  <c r="J224" i="30"/>
  <c r="L224" i="30" s="1"/>
  <c r="J225" i="30"/>
  <c r="L225" i="30" s="1"/>
  <c r="J226" i="30"/>
  <c r="L226" i="30" s="1"/>
  <c r="J201" i="30"/>
  <c r="L201" i="30" s="1"/>
  <c r="J183" i="30"/>
  <c r="L183" i="30" s="1"/>
  <c r="J184" i="30"/>
  <c r="L184" i="30" s="1"/>
  <c r="J185" i="30"/>
  <c r="L185" i="30" s="1"/>
  <c r="J186" i="30"/>
  <c r="L186" i="30" s="1"/>
  <c r="J187" i="30"/>
  <c r="L187" i="30" s="1"/>
  <c r="J188" i="30"/>
  <c r="L188" i="30" s="1"/>
  <c r="J189" i="30"/>
  <c r="L189" i="30" s="1"/>
  <c r="J190" i="30"/>
  <c r="L190" i="30" s="1"/>
  <c r="J191" i="30"/>
  <c r="L191" i="30" s="1"/>
  <c r="J192" i="30"/>
  <c r="L192" i="30" s="1"/>
  <c r="J193" i="30"/>
  <c r="L193" i="30" s="1"/>
  <c r="J194" i="30"/>
  <c r="L194" i="30" s="1"/>
  <c r="J195" i="30"/>
  <c r="L195" i="30" s="1"/>
  <c r="J182" i="30"/>
  <c r="L182" i="30" s="1"/>
  <c r="J163" i="30"/>
  <c r="L163" i="30" s="1"/>
  <c r="J164" i="30"/>
  <c r="L164" i="30" s="1"/>
  <c r="J165" i="30"/>
  <c r="L165" i="30" s="1"/>
  <c r="J166" i="30"/>
  <c r="L166" i="30" s="1"/>
  <c r="J167" i="30"/>
  <c r="L167" i="30" s="1"/>
  <c r="J168" i="30"/>
  <c r="L168" i="30" s="1"/>
  <c r="J169" i="30"/>
  <c r="L169" i="30" s="1"/>
  <c r="J170" i="30"/>
  <c r="L170" i="30" s="1"/>
  <c r="J171" i="30"/>
  <c r="L171" i="30" s="1"/>
  <c r="J172" i="30"/>
  <c r="L172" i="30" s="1"/>
  <c r="J173" i="30"/>
  <c r="L173" i="30" s="1"/>
  <c r="J174" i="30"/>
  <c r="L174" i="30" s="1"/>
  <c r="J175" i="30"/>
  <c r="L175" i="30" s="1"/>
  <c r="J176" i="30"/>
  <c r="L176" i="30" s="1"/>
  <c r="J177" i="30"/>
  <c r="L177" i="30" s="1"/>
  <c r="J178" i="30"/>
  <c r="L178" i="30" s="1"/>
  <c r="J162" i="30"/>
  <c r="L162" i="30" s="1"/>
  <c r="J135" i="30"/>
  <c r="L135" i="30" s="1"/>
  <c r="J136" i="30"/>
  <c r="L136" i="30" s="1"/>
  <c r="J137" i="30"/>
  <c r="L137" i="30" s="1"/>
  <c r="J138" i="30"/>
  <c r="L138" i="30" s="1"/>
  <c r="J139" i="30"/>
  <c r="L139" i="30" s="1"/>
  <c r="J140" i="30"/>
  <c r="L140" i="30" s="1"/>
  <c r="J141" i="30"/>
  <c r="L141" i="30" s="1"/>
  <c r="J142" i="30"/>
  <c r="L142" i="30" s="1"/>
  <c r="J144" i="30"/>
  <c r="L144" i="30" s="1"/>
  <c r="J145" i="30"/>
  <c r="L145" i="30" s="1"/>
  <c r="J146" i="30"/>
  <c r="L146" i="30" s="1"/>
  <c r="J147" i="30"/>
  <c r="L147" i="30" s="1"/>
  <c r="J148" i="30"/>
  <c r="L148" i="30" s="1"/>
  <c r="J149" i="30"/>
  <c r="L149" i="30" s="1"/>
  <c r="J150" i="30"/>
  <c r="L150" i="30" s="1"/>
  <c r="J151" i="30"/>
  <c r="L151" i="30" s="1"/>
  <c r="J152" i="30"/>
  <c r="L152" i="30" s="1"/>
  <c r="J154" i="30"/>
  <c r="L154" i="30" s="1"/>
  <c r="J131" i="30"/>
  <c r="J156" i="30"/>
  <c r="L156" i="30" s="1"/>
  <c r="J123" i="30"/>
  <c r="J111" i="30"/>
  <c r="J112" i="30"/>
  <c r="J113" i="30"/>
  <c r="J114" i="30"/>
  <c r="J115" i="30"/>
  <c r="J116" i="30"/>
  <c r="J118" i="30"/>
  <c r="J119" i="30"/>
  <c r="J120" i="30"/>
  <c r="J121" i="30"/>
  <c r="J122" i="30"/>
  <c r="J143" i="30"/>
  <c r="L143" i="30" s="1"/>
  <c r="J124" i="30"/>
  <c r="J125" i="30"/>
  <c r="J126" i="30"/>
  <c r="J127" i="30"/>
  <c r="J128" i="30"/>
  <c r="J129" i="30"/>
  <c r="J130" i="30"/>
  <c r="J110" i="30"/>
  <c r="L110" i="30" s="1"/>
  <c r="J76" i="30"/>
  <c r="L76" i="30" s="1"/>
  <c r="J77" i="30"/>
  <c r="L77" i="30" s="1"/>
  <c r="J78" i="30"/>
  <c r="L78" i="30" s="1"/>
  <c r="J79" i="30"/>
  <c r="L79" i="30" s="1"/>
  <c r="J80" i="30"/>
  <c r="L80" i="30" s="1"/>
  <c r="J81" i="30"/>
  <c r="L81" i="30" s="1"/>
  <c r="J82" i="30"/>
  <c r="L82" i="30" s="1"/>
  <c r="J84" i="30"/>
  <c r="L84" i="30" s="1"/>
  <c r="J85" i="30"/>
  <c r="L85" i="30" s="1"/>
  <c r="J86" i="30"/>
  <c r="L86" i="30" s="1"/>
  <c r="J87" i="30"/>
  <c r="L87" i="30" s="1"/>
  <c r="J75" i="30"/>
  <c r="L75" i="30" s="1"/>
  <c r="J5" i="30"/>
  <c r="L5" i="30" s="1"/>
  <c r="J6" i="30"/>
  <c r="L6" i="30" s="1"/>
  <c r="J7" i="30"/>
  <c r="L7" i="30" s="1"/>
  <c r="J8" i="30"/>
  <c r="L8" i="30" s="1"/>
  <c r="J9" i="30"/>
  <c r="L9" i="30" s="1"/>
  <c r="J10" i="30"/>
  <c r="L10" i="30" s="1"/>
  <c r="J11" i="30"/>
  <c r="L11" i="30" s="1"/>
  <c r="J12" i="30"/>
  <c r="L12" i="30" s="1"/>
  <c r="J13" i="30"/>
  <c r="L13" i="30" s="1"/>
  <c r="J14" i="30"/>
  <c r="L14" i="30" s="1"/>
  <c r="J15" i="30"/>
  <c r="L15" i="30" s="1"/>
  <c r="J16" i="30"/>
  <c r="L16" i="30" s="1"/>
  <c r="J17" i="30"/>
  <c r="L17" i="30" s="1"/>
  <c r="J18" i="30"/>
  <c r="L18" i="30" s="1"/>
  <c r="J19" i="30"/>
  <c r="L19" i="30" s="1"/>
  <c r="J20" i="30"/>
  <c r="L20" i="30" s="1"/>
  <c r="J21" i="30"/>
  <c r="L21" i="30" s="1"/>
  <c r="J22" i="30"/>
  <c r="L22" i="30" s="1"/>
  <c r="J23" i="30"/>
  <c r="L23" i="30" s="1"/>
  <c r="J24" i="30"/>
  <c r="L24" i="30" s="1"/>
  <c r="J25" i="30"/>
  <c r="L25" i="30" s="1"/>
  <c r="J158" i="30" l="1"/>
  <c r="J255" i="30"/>
  <c r="J132" i="30"/>
  <c r="J106" i="30"/>
  <c r="J230" i="30"/>
  <c r="H157" i="39"/>
  <c r="J4" i="30"/>
  <c r="L4" i="30" s="1"/>
  <c r="J36" i="30" l="1"/>
  <c r="J117" i="39"/>
  <c r="L117" i="39" s="1"/>
  <c r="J103" i="39"/>
  <c r="L103" i="39" s="1"/>
  <c r="J109" i="39"/>
  <c r="L109" i="39" s="1"/>
  <c r="J102" i="39"/>
  <c r="L102" i="39" s="1"/>
  <c r="J98" i="39"/>
  <c r="L98" i="39" s="1"/>
  <c r="J105" i="39"/>
  <c r="L105" i="39" s="1"/>
  <c r="J106" i="39"/>
  <c r="L106" i="39" s="1"/>
  <c r="J107" i="39"/>
  <c r="L107" i="39" s="1"/>
  <c r="J100" i="39"/>
  <c r="L100" i="39" s="1"/>
  <c r="J99" i="39"/>
  <c r="L99" i="39" s="1"/>
  <c r="J108" i="39"/>
  <c r="L108" i="39" s="1"/>
  <c r="J110" i="39"/>
  <c r="L110" i="39" s="1"/>
  <c r="J149" i="39"/>
  <c r="J151" i="39"/>
  <c r="J154" i="39"/>
  <c r="J150" i="39"/>
  <c r="J155" i="39"/>
  <c r="J152" i="39"/>
  <c r="J148" i="39"/>
  <c r="J136" i="39"/>
  <c r="J127" i="39"/>
  <c r="L127" i="39" s="1"/>
  <c r="J126" i="39"/>
  <c r="L126" i="39" s="1"/>
  <c r="J124" i="39"/>
  <c r="L124" i="39" s="1"/>
  <c r="J125" i="39"/>
  <c r="L125" i="39" s="1"/>
  <c r="J123" i="39"/>
  <c r="L123" i="39" s="1"/>
  <c r="J122" i="39"/>
  <c r="L122" i="39" s="1"/>
  <c r="J120" i="39"/>
  <c r="L120" i="39" s="1"/>
  <c r="J119" i="39"/>
  <c r="L119" i="39" s="1"/>
  <c r="J128" i="39"/>
  <c r="L128" i="39" s="1"/>
  <c r="J118" i="39"/>
  <c r="L118" i="39" s="1"/>
  <c r="J121" i="39"/>
  <c r="L121" i="39" s="1"/>
  <c r="J101" i="39"/>
  <c r="L101" i="39" s="1"/>
  <c r="J80" i="39"/>
  <c r="J79" i="39"/>
  <c r="J76" i="39"/>
  <c r="J78" i="39"/>
  <c r="J82" i="39"/>
  <c r="J85" i="39"/>
  <c r="J81" i="39"/>
  <c r="J77" i="39"/>
  <c r="J83" i="39"/>
  <c r="J75" i="39"/>
  <c r="J84" i="39"/>
  <c r="J74" i="39"/>
  <c r="J42" i="39"/>
  <c r="L42" i="39" s="1"/>
  <c r="J43" i="39"/>
  <c r="L43" i="39" s="1"/>
  <c r="J44" i="39"/>
  <c r="L44" i="39" s="1"/>
  <c r="J45" i="39"/>
  <c r="L45" i="39" s="1"/>
  <c r="J46" i="39"/>
  <c r="L46" i="39" s="1"/>
  <c r="J47" i="39"/>
  <c r="L47" i="39" s="1"/>
  <c r="J48" i="39"/>
  <c r="L48" i="39" s="1"/>
  <c r="J49" i="39"/>
  <c r="L49" i="39" s="1"/>
  <c r="J50" i="39"/>
  <c r="L50" i="39" s="1"/>
  <c r="J51" i="39"/>
  <c r="L51" i="39" s="1"/>
  <c r="J52" i="39"/>
  <c r="L52" i="39" s="1"/>
  <c r="J54" i="39"/>
  <c r="L54" i="39" s="1"/>
  <c r="J55" i="39"/>
  <c r="L55" i="39" s="1"/>
  <c r="J56" i="39"/>
  <c r="L56" i="39" s="1"/>
  <c r="J57" i="39"/>
  <c r="L57" i="39" s="1"/>
  <c r="J58" i="39"/>
  <c r="L58" i="39" s="1"/>
  <c r="J59" i="39"/>
  <c r="L59" i="39" s="1"/>
  <c r="J60" i="39"/>
  <c r="L60" i="39" s="1"/>
  <c r="J61" i="39"/>
  <c r="L61" i="39" s="1"/>
  <c r="J62" i="39"/>
  <c r="L62" i="39" s="1"/>
  <c r="J63" i="39"/>
  <c r="L63" i="39" s="1"/>
  <c r="J64" i="39"/>
  <c r="L64" i="39" s="1"/>
  <c r="J65" i="39"/>
  <c r="L65" i="39" s="1"/>
  <c r="J66" i="39"/>
  <c r="L66" i="39" s="1"/>
  <c r="J67" i="39"/>
  <c r="L67" i="39" s="1"/>
  <c r="J68" i="39"/>
  <c r="L68" i="39" s="1"/>
  <c r="J41" i="39"/>
  <c r="L41" i="39" s="1"/>
  <c r="J145" i="39" l="1"/>
  <c r="L136" i="39"/>
  <c r="J133" i="39"/>
  <c r="J95" i="39"/>
  <c r="J156" i="39"/>
  <c r="H197" i="30" l="1"/>
  <c r="I179" i="30"/>
  <c r="F179" i="30"/>
  <c r="H179" i="30"/>
  <c r="G233" i="30"/>
  <c r="H278" i="30"/>
  <c r="I197" i="30"/>
  <c r="F197" i="30"/>
  <c r="J153" i="39" l="1"/>
  <c r="J104" i="39"/>
  <c r="J53" i="39"/>
  <c r="J70" i="39" l="1"/>
  <c r="L53" i="39"/>
  <c r="J114" i="39"/>
  <c r="L104" i="39"/>
  <c r="J157" i="39"/>
  <c r="T4" i="30" l="1"/>
  <c r="D342" i="30" l="1"/>
  <c r="D340" i="30"/>
  <c r="D341" i="30"/>
  <c r="D343" i="30" l="1"/>
  <c r="E344" i="30"/>
  <c r="E342" i="30"/>
  <c r="E341" i="30"/>
  <c r="E340" i="30"/>
  <c r="E343" i="30" l="1"/>
  <c r="J278" i="30" l="1"/>
  <c r="J179" i="30" l="1"/>
  <c r="J197" i="30"/>
  <c r="G33" i="30" l="1"/>
  <c r="C184" i="39" l="1"/>
  <c r="P16" i="39" l="1"/>
  <c r="S8" i="39" l="1"/>
  <c r="S15" i="39" l="1"/>
  <c r="S4" i="39"/>
  <c r="S5" i="39"/>
  <c r="S9" i="39"/>
  <c r="S7" i="39"/>
  <c r="S13" i="39"/>
  <c r="S14" i="39"/>
  <c r="S3" i="39"/>
  <c r="T3" i="30"/>
  <c r="T5" i="30"/>
  <c r="T6" i="30"/>
  <c r="T7" i="30"/>
  <c r="T8" i="30"/>
  <c r="T9" i="30"/>
  <c r="S17" i="30" s="1"/>
  <c r="T14" i="30"/>
  <c r="T15" i="30"/>
  <c r="T13" i="30"/>
  <c r="T16" i="30"/>
  <c r="E77" i="30" l="1"/>
  <c r="E78" i="30"/>
  <c r="E81" i="30"/>
  <c r="E84" i="30"/>
  <c r="E85" i="30"/>
  <c r="E90" i="30"/>
  <c r="E91" i="30"/>
  <c r="E96" i="30"/>
  <c r="E276" i="30"/>
  <c r="C303" i="30"/>
  <c r="Y117" i="30"/>
  <c r="Y137" i="30"/>
  <c r="R17" i="30" l="1"/>
  <c r="T17" i="30"/>
  <c r="Y10" i="30"/>
  <c r="Y92" i="30" s="1"/>
  <c r="E85" i="39" l="1"/>
  <c r="E86" i="39" l="1"/>
  <c r="E152" i="39" l="1"/>
  <c r="E164" i="39" l="1"/>
  <c r="E166" i="39"/>
  <c r="E136" i="39"/>
  <c r="E81" i="39" l="1"/>
  <c r="E121" i="39"/>
  <c r="E118" i="39"/>
  <c r="E162" i="39"/>
  <c r="E167" i="39"/>
  <c r="E77" i="39" l="1"/>
  <c r="E163" i="39" l="1"/>
  <c r="E83" i="39"/>
  <c r="E104" i="39" l="1"/>
  <c r="E74" i="39" l="1"/>
  <c r="E90" i="39"/>
  <c r="E87" i="39"/>
  <c r="E103" i="39" l="1"/>
  <c r="E101" i="39"/>
  <c r="X10" i="39" l="1"/>
  <c r="X23" i="39" s="1"/>
  <c r="S16" i="39" l="1"/>
</calcChain>
</file>

<file path=xl/sharedStrings.xml><?xml version="1.0" encoding="utf-8"?>
<sst xmlns="http://schemas.openxmlformats.org/spreadsheetml/2006/main" count="3202" uniqueCount="1052">
  <si>
    <t>Phone No</t>
  </si>
  <si>
    <t>BBF</t>
  </si>
  <si>
    <t>Monthly Payable fees</t>
  </si>
  <si>
    <t>Total</t>
  </si>
  <si>
    <t>Roll No</t>
  </si>
  <si>
    <t>Monthly fee</t>
  </si>
  <si>
    <t>Name</t>
  </si>
  <si>
    <t>Father's Name</t>
  </si>
  <si>
    <t>Anum Batool</t>
  </si>
  <si>
    <t>Muhammad Faraz</t>
  </si>
  <si>
    <t>03343789405</t>
  </si>
  <si>
    <t>S/No</t>
  </si>
  <si>
    <t>Syed Muhammad Sameer Haider</t>
  </si>
  <si>
    <t>Syed Sajjad Haider</t>
  </si>
  <si>
    <t>03339602078</t>
  </si>
  <si>
    <t>Qamar Abbas Khan</t>
  </si>
  <si>
    <t>Dilawar Khan</t>
  </si>
  <si>
    <t>03348261154</t>
  </si>
  <si>
    <t>Junior 1</t>
  </si>
  <si>
    <t>Kulsoom Fatima</t>
  </si>
  <si>
    <t>Shahid Ali</t>
  </si>
  <si>
    <t>03339613824</t>
  </si>
  <si>
    <t>Junior 2</t>
  </si>
  <si>
    <t>Ashal Zahra</t>
  </si>
  <si>
    <t>Azmat Ali</t>
  </si>
  <si>
    <t>03329784255</t>
  </si>
  <si>
    <t>Class 1</t>
  </si>
  <si>
    <t>Adnan Haider</t>
  </si>
  <si>
    <t>Iftikhar Hussain</t>
  </si>
  <si>
    <t>03049579545</t>
  </si>
  <si>
    <t>Class 2</t>
  </si>
  <si>
    <t>Benish Zahra</t>
  </si>
  <si>
    <t>Muhammad Hasnain</t>
  </si>
  <si>
    <t>Class 3</t>
  </si>
  <si>
    <t>Bilawar Abbas</t>
  </si>
  <si>
    <t>Class 4</t>
  </si>
  <si>
    <t>Kabil Khan</t>
  </si>
  <si>
    <t>03339654406</t>
  </si>
  <si>
    <t>Asra Batool</t>
  </si>
  <si>
    <t>Muhammed Nafees</t>
  </si>
  <si>
    <t>03339630753</t>
  </si>
  <si>
    <t>Aoun Muhammad</t>
  </si>
  <si>
    <t>Muhammad Kazim</t>
  </si>
  <si>
    <t>Muhammad Anees</t>
  </si>
  <si>
    <t>03339612895</t>
  </si>
  <si>
    <t>Javed Ali</t>
  </si>
  <si>
    <t>Muhammad Abbas</t>
  </si>
  <si>
    <t>Sammar Abbas</t>
  </si>
  <si>
    <t>a.</t>
  </si>
  <si>
    <t>Syed Muhammad Ayyaf</t>
  </si>
  <si>
    <t>Asif Hussain Syed</t>
  </si>
  <si>
    <t>03329735086</t>
  </si>
  <si>
    <t>Muhammad Anas Abbas</t>
  </si>
  <si>
    <t>b.</t>
  </si>
  <si>
    <t>Hasnain Mehdi</t>
  </si>
  <si>
    <t>Other Payments</t>
  </si>
  <si>
    <t>Sajawal Abbas</t>
  </si>
  <si>
    <t>Hanya Abbas</t>
  </si>
  <si>
    <t>Balance</t>
  </si>
  <si>
    <t>Rima Batool</t>
  </si>
  <si>
    <t>Iqtedar Hussain</t>
  </si>
  <si>
    <t>Muhammad Sajeel Haider</t>
  </si>
  <si>
    <t>Syed Hadi Hassan</t>
  </si>
  <si>
    <t>Syed Abdul Abbas</t>
  </si>
  <si>
    <t>Zeeshan Haider</t>
  </si>
  <si>
    <t>Shah Mir</t>
  </si>
  <si>
    <t>Nawab Ali</t>
  </si>
  <si>
    <t>Athar Ali</t>
  </si>
  <si>
    <t>Zain Haider</t>
  </si>
  <si>
    <t>Waqar Hussain</t>
  </si>
  <si>
    <t>Syed Hamza Asad</t>
  </si>
  <si>
    <t>Ghulam Abbas</t>
  </si>
  <si>
    <t>03339058468</t>
  </si>
  <si>
    <t>Nowshad Ali</t>
  </si>
  <si>
    <t>Shifa Zahra</t>
  </si>
  <si>
    <t>Hijab Zahra</t>
  </si>
  <si>
    <t>Syed Muhammad Shah Afzal</t>
  </si>
  <si>
    <t>03315814305</t>
  </si>
  <si>
    <t>Wajid Ali</t>
  </si>
  <si>
    <t>Haider Abbas</t>
  </si>
  <si>
    <t>Name of Employee</t>
  </si>
  <si>
    <t>Post</t>
  </si>
  <si>
    <t>Principal</t>
  </si>
  <si>
    <t>Miss Annela Riaz</t>
  </si>
  <si>
    <t>Teacher</t>
  </si>
  <si>
    <t>Security Guard</t>
  </si>
  <si>
    <t>PAYMENTS</t>
  </si>
  <si>
    <t>Paid By</t>
  </si>
  <si>
    <t>Dated</t>
  </si>
  <si>
    <t>Category</t>
  </si>
  <si>
    <t>Amount (Rs)</t>
  </si>
  <si>
    <t>Items detail</t>
  </si>
  <si>
    <t>G. Total</t>
  </si>
  <si>
    <t>Muhammad Jasir</t>
  </si>
  <si>
    <t>Hamid Ali</t>
  </si>
  <si>
    <t>Aslam Hussain</t>
  </si>
  <si>
    <t>Syed Muhmmad Abdullah</t>
  </si>
  <si>
    <t>Syed Muhammad Qasim</t>
  </si>
  <si>
    <t>Murad Ali</t>
  </si>
  <si>
    <t>Jasra Ali</t>
  </si>
  <si>
    <t>Kamran Ali</t>
  </si>
  <si>
    <t>Shamim Hussain</t>
  </si>
  <si>
    <t>Muzaffar Ali</t>
  </si>
  <si>
    <t>Rifaqat Ali</t>
  </si>
  <si>
    <t>Syed Mehdi Hassan</t>
  </si>
  <si>
    <t>Syed Zeeshan Haider</t>
  </si>
  <si>
    <t>Syed Muhammad Hussain</t>
  </si>
  <si>
    <t>Bibi Jannat Zahra</t>
  </si>
  <si>
    <t>Syed Mubassir Hussain</t>
  </si>
  <si>
    <t>Bibi Maryam Khalil</t>
  </si>
  <si>
    <t>Syed Khalil Hussain</t>
  </si>
  <si>
    <t>Muhammad Ali</t>
  </si>
  <si>
    <t>Shafqat Ali</t>
  </si>
  <si>
    <t>Baswar Ali</t>
  </si>
  <si>
    <t>Syed Hussain Naqi Shah</t>
  </si>
  <si>
    <t>Hiba Wajid</t>
  </si>
  <si>
    <t>Wajid Hussain</t>
  </si>
  <si>
    <t>Abbas Ali</t>
  </si>
  <si>
    <t>03322762929</t>
  </si>
  <si>
    <t>Sameer Abbas</t>
  </si>
  <si>
    <t>Asrat Batool</t>
  </si>
  <si>
    <t>Safina Batool</t>
  </si>
  <si>
    <t>Class 5</t>
  </si>
  <si>
    <t>Aleen Syeda</t>
  </si>
  <si>
    <t>Malaika Abbas</t>
  </si>
  <si>
    <t>Syed Muhammad Wahdan</t>
  </si>
  <si>
    <t xml:space="preserve">Syed Agha Guloon </t>
  </si>
  <si>
    <t>Jannat Zahra</t>
  </si>
  <si>
    <t>Hira Batool</t>
  </si>
  <si>
    <t>Nihal Sakina</t>
  </si>
  <si>
    <t>Muhammad Kiyyan Mehdi</t>
  </si>
  <si>
    <t>c.</t>
  </si>
  <si>
    <t>Syed Asad Naveed</t>
  </si>
  <si>
    <t>Ihsan Ali</t>
  </si>
  <si>
    <t>Wazir Hussain</t>
  </si>
  <si>
    <t>Raza Jan Haider</t>
  </si>
  <si>
    <t>Haider Raza</t>
  </si>
  <si>
    <t>Adeem Hussain</t>
  </si>
  <si>
    <t>Nisar Ali</t>
  </si>
  <si>
    <t>Habib Ur Rehman</t>
  </si>
  <si>
    <t>Khalil Ur Rehman</t>
  </si>
  <si>
    <t>03329360370
03469772118</t>
  </si>
  <si>
    <t>03333425655
03325802061</t>
  </si>
  <si>
    <t>03360806040
03465576622</t>
  </si>
  <si>
    <t>03339658636</t>
  </si>
  <si>
    <t>Comments</t>
  </si>
  <si>
    <t>Ashtar Abbas</t>
  </si>
  <si>
    <t>Miss Hanni Zahra</t>
  </si>
  <si>
    <t>Wasi Abbas</t>
  </si>
  <si>
    <t>Aamir Abbas</t>
  </si>
  <si>
    <t>03369658740</t>
  </si>
  <si>
    <t>03329781456</t>
  </si>
  <si>
    <t>Class Junior 2</t>
  </si>
  <si>
    <t>Amount</t>
  </si>
  <si>
    <t>Ishal Abbas</t>
  </si>
  <si>
    <t>Syed Abdullah Hassan</t>
  </si>
  <si>
    <t>Jaffar Hassan</t>
  </si>
  <si>
    <t>03339610667</t>
  </si>
  <si>
    <t>Muhammad Nafees</t>
  </si>
  <si>
    <t>Securities Returned:</t>
  </si>
  <si>
    <t>Ser</t>
  </si>
  <si>
    <t>Name of Student</t>
  </si>
  <si>
    <t>Last Class Attended</t>
  </si>
  <si>
    <t>Mehmood Hassan</t>
  </si>
  <si>
    <t>Gul Hassan</t>
  </si>
  <si>
    <t>03345019108</t>
  </si>
  <si>
    <t>Zainab Shamim</t>
  </si>
  <si>
    <t>Wasim Raza</t>
  </si>
  <si>
    <t>03367083442
03465563910</t>
  </si>
  <si>
    <t>Muhammad Jibran Raza</t>
  </si>
  <si>
    <t>Atif Raza</t>
  </si>
  <si>
    <t>Jaun Haider</t>
  </si>
  <si>
    <t>Mustafa Haider</t>
  </si>
  <si>
    <t>03348265994
03345288660</t>
  </si>
  <si>
    <t>Hasnain Haider</t>
  </si>
  <si>
    <t>03329934104</t>
  </si>
  <si>
    <t>Muhammad Saim Raza</t>
  </si>
  <si>
    <t>Qadam Khan</t>
  </si>
  <si>
    <t>03329586561</t>
  </si>
  <si>
    <t>Muhammad Taqi</t>
  </si>
  <si>
    <t>Karamat Hussain</t>
  </si>
  <si>
    <t>03329280679
03329934104</t>
  </si>
  <si>
    <t>Muhammad Haseeb</t>
  </si>
  <si>
    <t>Remarks</t>
  </si>
  <si>
    <t>Waseem Ur Rehman</t>
  </si>
  <si>
    <t>03361522005</t>
  </si>
  <si>
    <t>03348179825</t>
  </si>
  <si>
    <t>03369243117</t>
  </si>
  <si>
    <t>Behzad Ali</t>
  </si>
  <si>
    <t>Naveed Ali</t>
  </si>
  <si>
    <t>Total Payable</t>
  </si>
  <si>
    <t>Zafar Ali</t>
  </si>
  <si>
    <t>03315236212
03319262459</t>
  </si>
  <si>
    <t>03348262657</t>
  </si>
  <si>
    <t>03342141414</t>
  </si>
  <si>
    <t>03339625532</t>
  </si>
  <si>
    <t>03348275952</t>
  </si>
  <si>
    <t>03339602523</t>
  </si>
  <si>
    <t>03349127252</t>
  </si>
  <si>
    <t>03346491887</t>
  </si>
  <si>
    <t>03319855399</t>
  </si>
  <si>
    <t>03339681536</t>
  </si>
  <si>
    <t>03339679525</t>
  </si>
  <si>
    <t>03339217843
03348332011</t>
  </si>
  <si>
    <t>03340907201</t>
  </si>
  <si>
    <t>03355052704</t>
  </si>
  <si>
    <t>03329620868</t>
  </si>
  <si>
    <t>03339633468</t>
  </si>
  <si>
    <t>03150997881</t>
  </si>
  <si>
    <t>03326252084</t>
  </si>
  <si>
    <t>03369695125</t>
  </si>
  <si>
    <t>03159224374</t>
  </si>
  <si>
    <t>03335378461</t>
  </si>
  <si>
    <t>03319892271</t>
  </si>
  <si>
    <t>Syed Muzammil Hussain</t>
  </si>
  <si>
    <t>Aruj Fatima</t>
  </si>
  <si>
    <t>Ahmed Musa</t>
  </si>
  <si>
    <t>03339621614</t>
  </si>
  <si>
    <t>Khadija</t>
  </si>
  <si>
    <t>03352592636</t>
  </si>
  <si>
    <t>Nadir Abbas</t>
  </si>
  <si>
    <t>03355049092</t>
  </si>
  <si>
    <t>Tasawar Hussain</t>
  </si>
  <si>
    <t>03325136238</t>
  </si>
  <si>
    <t>03059171275</t>
  </si>
  <si>
    <t>Malaika Batool</t>
  </si>
  <si>
    <t>Daim Mehdi</t>
  </si>
  <si>
    <t>Ashtar Ali</t>
  </si>
  <si>
    <t>03009000343</t>
  </si>
  <si>
    <t>Kashif Hussain</t>
  </si>
  <si>
    <t>Ghayur Hussain</t>
  </si>
  <si>
    <t>Ali Yazdan</t>
  </si>
  <si>
    <t>03009000343
03348508482</t>
  </si>
  <si>
    <t>Naeem Haider</t>
  </si>
  <si>
    <t>Ayya</t>
  </si>
  <si>
    <t>03363405378</t>
  </si>
  <si>
    <t>Atif Ali</t>
  </si>
  <si>
    <t>03348259425</t>
  </si>
  <si>
    <t>03339654211</t>
  </si>
  <si>
    <t>Hasnain Abbas</t>
  </si>
  <si>
    <t>Miss Shazia</t>
  </si>
  <si>
    <t>Miss Sofia</t>
  </si>
  <si>
    <t>Books</t>
  </si>
  <si>
    <t>Qty</t>
  </si>
  <si>
    <t>Book Name</t>
  </si>
  <si>
    <t>Remakrs</t>
  </si>
  <si>
    <t>d.</t>
  </si>
  <si>
    <t>Bal</t>
  </si>
  <si>
    <t>Shayyan hussain</t>
  </si>
  <si>
    <t>Iqtidar Hussain</t>
  </si>
  <si>
    <t>03351038812</t>
  </si>
  <si>
    <t>Muhammad Shahwaiz</t>
  </si>
  <si>
    <t>Turab Ali</t>
  </si>
  <si>
    <t>03348291595</t>
  </si>
  <si>
    <t>Murtajiz Mustafa</t>
  </si>
  <si>
    <t>03329151966</t>
  </si>
  <si>
    <t>Qaim Abbas</t>
  </si>
  <si>
    <t>Muhammad Jalil</t>
  </si>
  <si>
    <t>03359591529</t>
  </si>
  <si>
    <t>Shayyan Haider</t>
  </si>
  <si>
    <t>Khan Ali</t>
  </si>
  <si>
    <t>03313889985
03339651331</t>
  </si>
  <si>
    <t>Muhammad Rahaim</t>
  </si>
  <si>
    <t>Muhammad Abideen</t>
  </si>
  <si>
    <t>03339655615
03339478863</t>
  </si>
  <si>
    <t>Muhammad Irtiza</t>
  </si>
  <si>
    <t>03333051415</t>
  </si>
  <si>
    <t>Paid by</t>
  </si>
  <si>
    <t>Asim Ali</t>
  </si>
  <si>
    <t>03349925700</t>
  </si>
  <si>
    <t>Muhammad Hassan Abbas</t>
  </si>
  <si>
    <t>Hurr Abbas</t>
  </si>
  <si>
    <t>Class</t>
  </si>
  <si>
    <t>Muzammil Abbas</t>
  </si>
  <si>
    <t>03331598286
03100802116</t>
  </si>
  <si>
    <t>03339651521</t>
  </si>
  <si>
    <t>Muhammad Zain Abbas</t>
  </si>
  <si>
    <t>Waseem Abbas</t>
  </si>
  <si>
    <t>03465574575</t>
  </si>
  <si>
    <t>Group A</t>
  </si>
  <si>
    <t>Play Group</t>
  </si>
  <si>
    <t>Annela</t>
  </si>
  <si>
    <t>Saima</t>
  </si>
  <si>
    <t>Hani</t>
  </si>
  <si>
    <t>Kausar</t>
  </si>
  <si>
    <t>Masooma</t>
  </si>
  <si>
    <t>Habib Hassan</t>
  </si>
  <si>
    <t>03339332494</t>
  </si>
  <si>
    <t>Jasim Mehdi</t>
  </si>
  <si>
    <t>Habib Mushahid</t>
  </si>
  <si>
    <t>Mushahid hussain</t>
  </si>
  <si>
    <t>Sahil Abbas</t>
  </si>
  <si>
    <t>Dilbar Hassan</t>
  </si>
  <si>
    <t>03339663605</t>
  </si>
  <si>
    <t>Muhammad Saleem</t>
  </si>
  <si>
    <t>03329568732</t>
  </si>
  <si>
    <t>Muhammad Muntazir Mehdi</t>
  </si>
  <si>
    <t>Abdullah Komail</t>
  </si>
  <si>
    <t>03343358440
03347915680</t>
  </si>
  <si>
    <t>Maryam Zahra</t>
  </si>
  <si>
    <t>Abdullah Kumail</t>
  </si>
  <si>
    <t>Kamil Mehdi</t>
  </si>
  <si>
    <t>Iltija Khan</t>
  </si>
  <si>
    <t>Sadar Khan</t>
  </si>
  <si>
    <t>03348282183</t>
  </si>
  <si>
    <t>Afia Batool</t>
  </si>
  <si>
    <t>Irfan Ali</t>
  </si>
  <si>
    <t>03339223485</t>
  </si>
  <si>
    <t>Ashal Abbas</t>
  </si>
  <si>
    <t>Eshaal Batool</t>
  </si>
  <si>
    <t>03335378461
03142766279</t>
  </si>
  <si>
    <t>Imran Ali</t>
  </si>
  <si>
    <t>03329654826
03181917683</t>
  </si>
  <si>
    <t>Madeeha Fatima</t>
  </si>
  <si>
    <t>03348268942</t>
  </si>
  <si>
    <t>Fareeha Batool</t>
  </si>
  <si>
    <t>03129664277
03339664277</t>
  </si>
  <si>
    <t>Saim Raza</t>
  </si>
  <si>
    <t>Nadeem Hussain</t>
  </si>
  <si>
    <t>Muhammad Faseeh</t>
  </si>
  <si>
    <t>Muhammad Wisal</t>
  </si>
  <si>
    <t>Najaf Zahra</t>
  </si>
  <si>
    <t>Waqas Alam Khan</t>
  </si>
  <si>
    <t>03329650350</t>
  </si>
  <si>
    <t>Muhammad Asim</t>
  </si>
  <si>
    <t>03488079628</t>
  </si>
  <si>
    <t>Wajih Ullah</t>
  </si>
  <si>
    <t>03369594937
03367083442</t>
  </si>
  <si>
    <t>Umme Kalsoom</t>
  </si>
  <si>
    <t>Hadi Raza</t>
  </si>
  <si>
    <t>Rohail Abbas</t>
  </si>
  <si>
    <t>Ishtiaq Hussain</t>
  </si>
  <si>
    <t>03348253105
03149251436</t>
  </si>
  <si>
    <t>Daim Raza</t>
  </si>
  <si>
    <t>Afaq Hussain</t>
  </si>
  <si>
    <t>03489440292</t>
  </si>
  <si>
    <t>Iman Ali</t>
  </si>
  <si>
    <t>03345898445
03350478003</t>
  </si>
  <si>
    <t>Hareem Fatima</t>
  </si>
  <si>
    <t>Aamir Hussain</t>
  </si>
  <si>
    <t>03340903427</t>
  </si>
  <si>
    <t>Zohair Abbas</t>
  </si>
  <si>
    <t>Khalil Haider</t>
  </si>
  <si>
    <t>03331598210</t>
  </si>
  <si>
    <t>Syed Wajih Ul Hassan</t>
  </si>
  <si>
    <t>Muhammad Jaun Abbas</t>
  </si>
  <si>
    <t>Qasid Abbas</t>
  </si>
  <si>
    <t>03347043142
03359549157</t>
  </si>
  <si>
    <t>Owais Ali</t>
  </si>
  <si>
    <t>Harfa Faraz</t>
  </si>
  <si>
    <t>Fabeeha Bangash</t>
  </si>
  <si>
    <t>Javed Hussain</t>
  </si>
  <si>
    <t>Rooh Ullah</t>
  </si>
  <si>
    <t>Bibi Fatima Hassan</t>
  </si>
  <si>
    <t>Syed Muhammad Mehdi</t>
  </si>
  <si>
    <t>03309220261
03169511936</t>
  </si>
  <si>
    <t>Abeeha Abbas</t>
  </si>
  <si>
    <t>Zaheer Abbas</t>
  </si>
  <si>
    <t>03319626263
03176153042</t>
  </si>
  <si>
    <t>Hassna Batool</t>
  </si>
  <si>
    <t>03316000672
03088546324</t>
  </si>
  <si>
    <t>Hadis Fatima</t>
  </si>
  <si>
    <t>03350502324</t>
  </si>
  <si>
    <t>Sayed Akbar Abbas</t>
  </si>
  <si>
    <t>03350502791</t>
  </si>
  <si>
    <t>Syed Ahad Abid</t>
  </si>
  <si>
    <t>Fatima Bakhtawar</t>
  </si>
  <si>
    <t>Muhammad Jameel</t>
  </si>
  <si>
    <t>Mureed Anwar</t>
  </si>
  <si>
    <t>Muhammad Wahab</t>
  </si>
  <si>
    <t>Syed Abid Hussain</t>
  </si>
  <si>
    <t>03335611411</t>
  </si>
  <si>
    <t>Sayeda Anabia</t>
  </si>
  <si>
    <t>Humayun Abbas</t>
  </si>
  <si>
    <t>Hoorain Javed</t>
  </si>
  <si>
    <t>03348285606
03336363114</t>
  </si>
  <si>
    <t>Syed Wajahat Hussain</t>
  </si>
  <si>
    <t>03315072824
03177990610</t>
  </si>
  <si>
    <t>Zahra Batool</t>
  </si>
  <si>
    <t>Amir Ali</t>
  </si>
  <si>
    <t>03339615975</t>
  </si>
  <si>
    <t>Hur Abbas</t>
  </si>
  <si>
    <t>Afsar Ali</t>
  </si>
  <si>
    <t>03339659029
00971504089856</t>
  </si>
  <si>
    <t>Asad Ali</t>
  </si>
  <si>
    <t>03339659029</t>
  </si>
  <si>
    <t>Ihitiram Ali</t>
  </si>
  <si>
    <t>Wajeeha Batool</t>
  </si>
  <si>
    <t>Shabab Ali</t>
  </si>
  <si>
    <t>03365844697
03005962659</t>
  </si>
  <si>
    <t>Bibi Kinza</t>
  </si>
  <si>
    <t>03364300367
03340583272</t>
  </si>
  <si>
    <t>Ghulam Murtaza</t>
  </si>
  <si>
    <t>Ulfat Hussain</t>
  </si>
  <si>
    <t>03339292188
03324598012</t>
  </si>
  <si>
    <t>03328998723</t>
  </si>
  <si>
    <t>Syed Muhammad Murtaza Gul</t>
  </si>
  <si>
    <t>Syed Shafqat Raza</t>
  </si>
  <si>
    <t>03335010701</t>
  </si>
  <si>
    <t>Maisam Abbas</t>
  </si>
  <si>
    <t>03343523605
03319855399</t>
  </si>
  <si>
    <t>03325821169</t>
  </si>
  <si>
    <t>Anmol Zahra</t>
  </si>
  <si>
    <t>e.</t>
  </si>
  <si>
    <t>Imran Abbas</t>
  </si>
  <si>
    <t>Mudassir Hussain</t>
  </si>
  <si>
    <t>03345489123</t>
  </si>
  <si>
    <t>Rifat Abbas</t>
  </si>
  <si>
    <t>03348252126
03139369469</t>
  </si>
  <si>
    <t>Bibi Masooma</t>
  </si>
  <si>
    <t>Other Receipts:</t>
  </si>
  <si>
    <t>Badges</t>
  </si>
  <si>
    <t>Notebooks</t>
  </si>
  <si>
    <t>Diary</t>
  </si>
  <si>
    <t>Paper Ream</t>
  </si>
  <si>
    <t>Munir</t>
  </si>
  <si>
    <t>Comp Op</t>
  </si>
  <si>
    <t>Syeda Farisha Hassan</t>
  </si>
  <si>
    <t>Syed Sami Ul Hassan</t>
  </si>
  <si>
    <t>03339655099</t>
  </si>
  <si>
    <t>Miss Nazra Jabeen</t>
  </si>
  <si>
    <t>Shirin Ali</t>
  </si>
  <si>
    <t>Atta e Sakina</t>
  </si>
  <si>
    <t>PG</t>
  </si>
  <si>
    <t>J1</t>
  </si>
  <si>
    <t>Coats</t>
  </si>
  <si>
    <t>Fine</t>
  </si>
  <si>
    <t>Yasmeen</t>
  </si>
  <si>
    <t>Miss Hina Mir</t>
  </si>
  <si>
    <t>Revised Pay</t>
  </si>
  <si>
    <t>Father Name</t>
  </si>
  <si>
    <t>Phone</t>
  </si>
  <si>
    <t>Anmool</t>
  </si>
  <si>
    <t>03345898445</t>
  </si>
  <si>
    <t>WA Number</t>
  </si>
  <si>
    <t>03350478003</t>
  </si>
  <si>
    <t>Syeda Hoor Ul Saqlain</t>
  </si>
  <si>
    <t>Syed Mazhar Ul Saqlain</t>
  </si>
  <si>
    <t>03158860173</t>
  </si>
  <si>
    <t>Monthly Fee</t>
  </si>
  <si>
    <t>Muhammad Murtajiz Abbas</t>
  </si>
  <si>
    <t>Khurram Abbas</t>
  </si>
  <si>
    <t>03409422825</t>
  </si>
  <si>
    <t>Bali Sukaina Abbas</t>
  </si>
  <si>
    <t>Muhammad Hamdan</t>
  </si>
  <si>
    <t>Wajahat Ali Khan</t>
  </si>
  <si>
    <t>03120923010</t>
  </si>
  <si>
    <t>03353105726</t>
  </si>
  <si>
    <t>Fazil Raza</t>
  </si>
  <si>
    <t>Muhtashim Raza</t>
  </si>
  <si>
    <t>03485438008</t>
  </si>
  <si>
    <t>Muhmmad Anees</t>
  </si>
  <si>
    <t>Eshal Zahra</t>
  </si>
  <si>
    <t>Muhammad Muneer</t>
  </si>
  <si>
    <t>03348301821</t>
  </si>
  <si>
    <t>Ashtar Mehdi</t>
  </si>
  <si>
    <t>Tafseer Haider</t>
  </si>
  <si>
    <t>03323785844</t>
  </si>
  <si>
    <t xml:space="preserve">Birth cert </t>
  </si>
  <si>
    <t>Muhammad Saim Abbas</t>
  </si>
  <si>
    <t>Nasir Hussain</t>
  </si>
  <si>
    <t>03365485883</t>
  </si>
  <si>
    <t>Branch 2</t>
  </si>
  <si>
    <t>Noman Mehdi</t>
  </si>
  <si>
    <t>Ghadeer Haider</t>
  </si>
  <si>
    <t>Ihtisham Haider</t>
  </si>
  <si>
    <t>03329659836</t>
  </si>
  <si>
    <t>f.</t>
  </si>
  <si>
    <t>Hamdan Raza</t>
  </si>
  <si>
    <t>Adnan Hussain</t>
  </si>
  <si>
    <t>03369157337</t>
  </si>
  <si>
    <t>Adab Zahra</t>
  </si>
  <si>
    <t>Nouman Hussain</t>
  </si>
  <si>
    <t>03319880992</t>
  </si>
  <si>
    <t>Class Play Group</t>
  </si>
  <si>
    <t>Class Junior 1</t>
  </si>
  <si>
    <t>Mr Mureed Kazim</t>
  </si>
  <si>
    <t>Branch 1</t>
  </si>
  <si>
    <t>WhatsApp Number</t>
  </si>
  <si>
    <t>Muhammad Mushtaq</t>
  </si>
  <si>
    <t>Burhan Mehdi</t>
  </si>
  <si>
    <t>03139502339</t>
  </si>
  <si>
    <t>03340692019</t>
  </si>
  <si>
    <t>Muqadar Abbas</t>
  </si>
  <si>
    <t>Intizar Ali</t>
  </si>
  <si>
    <t>Jibran Raza</t>
  </si>
  <si>
    <t>Sair Abbas</t>
  </si>
  <si>
    <t>Gulzar Hussain</t>
  </si>
  <si>
    <t>03329066340</t>
  </si>
  <si>
    <t>Muhammad Hasnain Raza</t>
  </si>
  <si>
    <t>Shahi Noor</t>
  </si>
  <si>
    <t>03329937208</t>
  </si>
  <si>
    <t>Aima Batool</t>
  </si>
  <si>
    <t>Mushahid Ali</t>
  </si>
  <si>
    <t>03329654826</t>
  </si>
  <si>
    <t>03229827212</t>
  </si>
  <si>
    <t>Fiza Batool</t>
  </si>
  <si>
    <t>03300238774</t>
  </si>
  <si>
    <t>Madah Hussain</t>
  </si>
  <si>
    <t>Member Ali</t>
  </si>
  <si>
    <t>03343781569</t>
  </si>
  <si>
    <t>Dure Shahwa Zahra</t>
  </si>
  <si>
    <t>Sohail Hassan</t>
  </si>
  <si>
    <t>03139815089</t>
  </si>
  <si>
    <t>Security</t>
  </si>
  <si>
    <t>Rent</t>
  </si>
  <si>
    <t>Adm</t>
  </si>
  <si>
    <t>Hamid Hussain</t>
  </si>
  <si>
    <t>03325708055</t>
  </si>
  <si>
    <t>03320502891</t>
  </si>
  <si>
    <t>Muhammad Shayan</t>
  </si>
  <si>
    <t>Mehtab Hussain</t>
  </si>
  <si>
    <t>03339611577</t>
  </si>
  <si>
    <t>Arfa Batool</t>
  </si>
  <si>
    <t>Muhammad Azfar</t>
  </si>
  <si>
    <t>03360497861</t>
  </si>
  <si>
    <t>Mutahir Hussain</t>
  </si>
  <si>
    <t>Himat Ali</t>
  </si>
  <si>
    <t>03348301159</t>
  </si>
  <si>
    <t>Muhammad Kamil</t>
  </si>
  <si>
    <t>Sabir Ali</t>
  </si>
  <si>
    <t>03349590762</t>
  </si>
  <si>
    <t>Muhammad Saim</t>
  </si>
  <si>
    <t>Speen Gull</t>
  </si>
  <si>
    <t>03335468526</t>
  </si>
  <si>
    <t>Muhammad Teham</t>
  </si>
  <si>
    <t>Laiq Hussain</t>
  </si>
  <si>
    <t>03334294482</t>
  </si>
  <si>
    <t>Hasrat - e - Zainab</t>
  </si>
  <si>
    <t>Hasrat Ali</t>
  </si>
  <si>
    <t>03369658103</t>
  </si>
  <si>
    <t>Miss Areesha</t>
  </si>
  <si>
    <t>Murtaza Ali</t>
  </si>
  <si>
    <t>03340587552</t>
  </si>
  <si>
    <t>Syed Wasi Abbas</t>
  </si>
  <si>
    <t>Syed Muhammad Sabtain</t>
  </si>
  <si>
    <t>03059858954</t>
  </si>
  <si>
    <t>Niqad Ali</t>
  </si>
  <si>
    <t>Irtaj Ali</t>
  </si>
  <si>
    <t>03349543397</t>
  </si>
  <si>
    <t>Bibi Kubra Zahra</t>
  </si>
  <si>
    <t>Syed Shan E Haider</t>
  </si>
  <si>
    <t>03355773463</t>
  </si>
  <si>
    <t>03499539449</t>
  </si>
  <si>
    <t>Hasnain Raza</t>
  </si>
  <si>
    <t>M Hussain</t>
  </si>
  <si>
    <t>03322230241</t>
  </si>
  <si>
    <t>03070737895</t>
  </si>
  <si>
    <t>Muhammad Essa</t>
  </si>
  <si>
    <t>03343851034</t>
  </si>
  <si>
    <t>03329776745</t>
  </si>
  <si>
    <t>Oun Haider</t>
  </si>
  <si>
    <t>Gulfam Hussain</t>
  </si>
  <si>
    <t>03335012415</t>
  </si>
  <si>
    <t>03329936074</t>
  </si>
  <si>
    <t>Habib Ullah Khan</t>
  </si>
  <si>
    <t>03121355431</t>
  </si>
  <si>
    <t>03335017383</t>
  </si>
  <si>
    <t>Safeer Abbas</t>
  </si>
  <si>
    <t>Shafqat Abbas</t>
  </si>
  <si>
    <t>03111590738</t>
  </si>
  <si>
    <t>Aman Zahra</t>
  </si>
  <si>
    <t>Mureed Kazim</t>
  </si>
  <si>
    <t>03339647466</t>
  </si>
  <si>
    <t>Abdullah Khan</t>
  </si>
  <si>
    <t>Inam Ullah Khan</t>
  </si>
  <si>
    <t>03347060415</t>
  </si>
  <si>
    <t>03339609273</t>
  </si>
  <si>
    <t>Wajeeha Zahra</t>
  </si>
  <si>
    <t>03329360370</t>
  </si>
  <si>
    <t>03469772118</t>
  </si>
  <si>
    <t>Qaim Ali Shah</t>
  </si>
  <si>
    <t>Hassan Ali Shah</t>
  </si>
  <si>
    <t>03354554404</t>
  </si>
  <si>
    <t>Amjad Ali</t>
  </si>
  <si>
    <t>Rabin Haider</t>
  </si>
  <si>
    <t>Wajahat Hussain</t>
  </si>
  <si>
    <t>03338315439</t>
  </si>
  <si>
    <t>Jaan Raza</t>
  </si>
  <si>
    <t>03355390761</t>
  </si>
  <si>
    <t>Nisa Batool</t>
  </si>
  <si>
    <t>Sharafat Ali</t>
  </si>
  <si>
    <t>03348251708</t>
  </si>
  <si>
    <t>03348307912</t>
  </si>
  <si>
    <t>Ajiha Zahra</t>
  </si>
  <si>
    <t>03333458160</t>
  </si>
  <si>
    <t>Qasim Raza Mir</t>
  </si>
  <si>
    <t>Bibi Asmat Zahra</t>
  </si>
  <si>
    <t>JET</t>
  </si>
  <si>
    <t>Hira Begum</t>
  </si>
  <si>
    <t>Aya</t>
  </si>
  <si>
    <t>Muhammad Jamil</t>
  </si>
  <si>
    <t>03334181664</t>
  </si>
  <si>
    <t>03171673361</t>
  </si>
  <si>
    <t>Ahmad Ali</t>
  </si>
  <si>
    <t>03327124540</t>
  </si>
  <si>
    <t>Muhammad Hamza</t>
  </si>
  <si>
    <t>Akbar Raza</t>
  </si>
  <si>
    <t>03329942783</t>
  </si>
  <si>
    <t>Pay</t>
  </si>
  <si>
    <t>Chand Zahra</t>
  </si>
  <si>
    <t>Arbab Ali</t>
  </si>
  <si>
    <t>03348251873</t>
  </si>
  <si>
    <t>Muqqadar Abbas</t>
  </si>
  <si>
    <t>Aftab Hussain</t>
  </si>
  <si>
    <t>03364546562</t>
  </si>
  <si>
    <t>Shabab Hassan</t>
  </si>
  <si>
    <t>Qarar Abbas</t>
  </si>
  <si>
    <t>Muhammad Kian</t>
  </si>
  <si>
    <t>Muhammad Ilyas</t>
  </si>
  <si>
    <t>03329541235</t>
  </si>
  <si>
    <t>Fatir</t>
  </si>
  <si>
    <t>Shaban Ali</t>
  </si>
  <si>
    <t>03329407575</t>
  </si>
  <si>
    <t>Mehak Zahra</t>
  </si>
  <si>
    <t>03161439154</t>
  </si>
  <si>
    <t>Riyat Ali</t>
  </si>
  <si>
    <t>03348263572</t>
  </si>
  <si>
    <t>03339628039</t>
  </si>
  <si>
    <t>Faiqa Hassan</t>
  </si>
  <si>
    <t>Syed Muhammad Sheraz</t>
  </si>
  <si>
    <t>03355829216</t>
  </si>
  <si>
    <t>03105498601</t>
  </si>
  <si>
    <t>Zahra Fatima</t>
  </si>
  <si>
    <t>Kaneez Zahra</t>
  </si>
  <si>
    <t>Ihtisham Hussain</t>
  </si>
  <si>
    <t>03349197694</t>
  </si>
  <si>
    <t xml:space="preserve"> 03197100690</t>
  </si>
  <si>
    <t>Muhammad Ayyan Haider</t>
  </si>
  <si>
    <t>Shakil Haider</t>
  </si>
  <si>
    <t>03329510585</t>
  </si>
  <si>
    <t>Ashra Haider</t>
  </si>
  <si>
    <t>03329937085</t>
  </si>
  <si>
    <t>Muntazir</t>
  </si>
  <si>
    <t>Safia Begum</t>
  </si>
  <si>
    <t>Syed Shan e Haider</t>
  </si>
  <si>
    <t>Taimur Hussain</t>
  </si>
  <si>
    <t>Maham</t>
  </si>
  <si>
    <t>Abeeha Batool</t>
  </si>
  <si>
    <t>Danyal Haider</t>
  </si>
  <si>
    <t>Hadi Mustafa</t>
  </si>
  <si>
    <t>Muhammad jasim Raza</t>
  </si>
  <si>
    <t>Kiyyan Abbas</t>
  </si>
  <si>
    <t>M Rahim</t>
  </si>
  <si>
    <t>M hadi</t>
  </si>
  <si>
    <t>Sadiq Haider</t>
  </si>
  <si>
    <t>Sabir Hussain</t>
  </si>
  <si>
    <t>Muhammad Zayan Haider</t>
  </si>
  <si>
    <t>Syed Yashal Zainab</t>
  </si>
  <si>
    <t>Syeda masooma Ahad</t>
  </si>
  <si>
    <t>Itaat Fatima</t>
  </si>
  <si>
    <t>Maisam Raza</t>
  </si>
  <si>
    <t>Ali Ayan Mehdi</t>
  </si>
  <si>
    <t>Syed M Rayan</t>
  </si>
  <si>
    <t>Mustajab Ahmad</t>
  </si>
  <si>
    <t>Zamin Abbas</t>
  </si>
  <si>
    <t xml:space="preserve"> Class 4</t>
  </si>
  <si>
    <t>Class - 5</t>
  </si>
  <si>
    <t>Class 1 (A)</t>
  </si>
  <si>
    <t>Class 1 (B)</t>
  </si>
  <si>
    <t>Sarmad Hussain</t>
  </si>
  <si>
    <t>Syed Nazar</t>
  </si>
  <si>
    <t>Hooria Fatima</t>
  </si>
  <si>
    <t>Tahir Abbas</t>
  </si>
  <si>
    <t>Raza Ali</t>
  </si>
  <si>
    <t>Ameer Ali khan</t>
  </si>
  <si>
    <t>Muhammad Wasim</t>
  </si>
  <si>
    <t>Muhamad Qasim</t>
  </si>
  <si>
    <t>Sher Ali</t>
  </si>
  <si>
    <t xml:space="preserve">Qamar Abas </t>
  </si>
  <si>
    <t>Aamir Ali</t>
  </si>
  <si>
    <t>Sahib Raza</t>
  </si>
  <si>
    <t>Janat Zahra</t>
  </si>
  <si>
    <t>Fabeha</t>
  </si>
  <si>
    <t>Ali Hussain</t>
  </si>
  <si>
    <t>Waqas Ali</t>
  </si>
  <si>
    <t>Ghadeer Hussain</t>
  </si>
  <si>
    <t>Muhammad Qaiser</t>
  </si>
  <si>
    <t>Muhammad Danial</t>
  </si>
  <si>
    <t>Haider Ali</t>
  </si>
  <si>
    <t>Fahad Abbas</t>
  </si>
  <si>
    <t>Rahat Ali</t>
  </si>
  <si>
    <t>Syed Muhammad Raza</t>
  </si>
  <si>
    <t>Syed mujahid Raza</t>
  </si>
  <si>
    <t>Arsalan Haier</t>
  </si>
  <si>
    <t>Mumtaz Ali</t>
  </si>
  <si>
    <t>Hadeeqa  Batool</t>
  </si>
  <si>
    <t>Liaqat Ali</t>
  </si>
  <si>
    <t>Muntazir Mehdi</t>
  </si>
  <si>
    <t xml:space="preserve">Muhammad Saim Haidery </t>
  </si>
  <si>
    <t>Zahir ali</t>
  </si>
  <si>
    <t xml:space="preserve">Muhammad Basil Haidery </t>
  </si>
  <si>
    <t>C-4</t>
  </si>
  <si>
    <t>0334-0951755</t>
  </si>
  <si>
    <t>0336-5487337</t>
  </si>
  <si>
    <t>0317-9503682</t>
  </si>
  <si>
    <t>0332-9803125</t>
  </si>
  <si>
    <t>0312-7647681</t>
  </si>
  <si>
    <t>0332-7584659</t>
  </si>
  <si>
    <t>0316-3204516</t>
  </si>
  <si>
    <t>0334-2052472</t>
  </si>
  <si>
    <t>0334-8289017</t>
  </si>
  <si>
    <t>0333-9616523</t>
  </si>
  <si>
    <t>0333-9504929</t>
  </si>
  <si>
    <t>0345-9525529</t>
  </si>
  <si>
    <t>0336-3913515</t>
  </si>
  <si>
    <t>0331-4322921</t>
  </si>
  <si>
    <t>0331-8763106</t>
  </si>
  <si>
    <t>0330-383620</t>
  </si>
  <si>
    <t>0334-5436039</t>
  </si>
  <si>
    <t>0334-1927535</t>
  </si>
  <si>
    <t>0332-9012499</t>
  </si>
  <si>
    <t>03348254365</t>
  </si>
  <si>
    <t>0332-9249327</t>
  </si>
  <si>
    <t>0330-3836203</t>
  </si>
  <si>
    <t>0334-8255077</t>
  </si>
  <si>
    <t>Qurat ul Ain</t>
  </si>
  <si>
    <t>Sajid hussain</t>
  </si>
  <si>
    <t>Bibi Isra Zainab</t>
  </si>
  <si>
    <t>Zainab</t>
  </si>
  <si>
    <t>Farwa</t>
  </si>
  <si>
    <t>Qamreen</t>
  </si>
  <si>
    <t>Alyan Abbas</t>
  </si>
  <si>
    <t>FEE</t>
  </si>
  <si>
    <t>Asghar Abbas</t>
  </si>
  <si>
    <t>Syeda Fiza Batool</t>
  </si>
  <si>
    <t>Muhammad Shahbaz Ali</t>
  </si>
  <si>
    <t>Jalil Hussain</t>
  </si>
  <si>
    <t>03170957968</t>
  </si>
  <si>
    <t>Fiza Shah</t>
  </si>
  <si>
    <t>Syed Shah Hussain</t>
  </si>
  <si>
    <t>03335515826</t>
  </si>
  <si>
    <t>Hanya Batool</t>
  </si>
  <si>
    <t>Shariq Hussain</t>
  </si>
  <si>
    <t>Hassan Raza</t>
  </si>
  <si>
    <t>Ishtiaq Khan</t>
  </si>
  <si>
    <t>M. Alyan</t>
  </si>
  <si>
    <t>M. Jalil</t>
  </si>
  <si>
    <t>0333-8889691</t>
  </si>
  <si>
    <t>0314-2627089</t>
  </si>
  <si>
    <t>0333-8377416</t>
  </si>
  <si>
    <t>Maisam Ali</t>
  </si>
  <si>
    <t>Murtajiz Haider</t>
  </si>
  <si>
    <t>Kashif Raza</t>
  </si>
  <si>
    <t>S .M Hadi</t>
  </si>
  <si>
    <t>S.M Sheraz</t>
  </si>
  <si>
    <t>M. Hadi</t>
  </si>
  <si>
    <t>Speen Gul</t>
  </si>
  <si>
    <t>M .Ibrahim</t>
  </si>
  <si>
    <t>M. Ismail</t>
  </si>
  <si>
    <t>M .Nabeel Behishti</t>
  </si>
  <si>
    <t>Dia Zahra</t>
  </si>
  <si>
    <t>Ali Rehman</t>
  </si>
  <si>
    <t>Eiman Zahra</t>
  </si>
  <si>
    <t>Mehdi Raza</t>
  </si>
  <si>
    <t xml:space="preserve">Ismail </t>
  </si>
  <si>
    <t>0333-9617428</t>
  </si>
  <si>
    <t>0331-9944187</t>
  </si>
  <si>
    <t>0335-5829216</t>
  </si>
  <si>
    <t>0333-5468526</t>
  </si>
  <si>
    <t>0332-8010873</t>
  </si>
  <si>
    <t>0335-8380493</t>
  </si>
  <si>
    <t>M Sami Abbas</t>
  </si>
  <si>
    <t>Mureed Abbas</t>
  </si>
  <si>
    <t>M. Idress</t>
  </si>
  <si>
    <t>Miqdad Hussain</t>
  </si>
  <si>
    <t>Muhammad Shahid</t>
  </si>
  <si>
    <t>Ali Mirza</t>
  </si>
  <si>
    <t>Sakhid Ali</t>
  </si>
  <si>
    <t>Alyan Raza</t>
  </si>
  <si>
    <t>Faisal Raza</t>
  </si>
  <si>
    <t>0335-5844516</t>
  </si>
  <si>
    <t>0334-0565340</t>
  </si>
  <si>
    <t>0333-9196545</t>
  </si>
  <si>
    <t>0333-8782249</t>
  </si>
  <si>
    <t xml:space="preserve">Saim Raza </t>
  </si>
  <si>
    <t>Shahzad khan</t>
  </si>
  <si>
    <t>Sohail Abbas</t>
  </si>
  <si>
    <t>Kiban Ali</t>
  </si>
  <si>
    <t>Marium Zahra</t>
  </si>
  <si>
    <t>0316-9512049</t>
  </si>
  <si>
    <t>0318-0596872</t>
  </si>
  <si>
    <t>0332-9149945</t>
  </si>
  <si>
    <t>M. Aun Abbas</t>
  </si>
  <si>
    <t>0333-9373181</t>
  </si>
  <si>
    <t>Hayat Ali</t>
  </si>
  <si>
    <t>S. Hassan Mujtaba</t>
  </si>
  <si>
    <t>S. Badshah</t>
  </si>
  <si>
    <t>0305-9858954</t>
  </si>
  <si>
    <t>M. Yousaf</t>
  </si>
  <si>
    <t>M. Mushtaq</t>
  </si>
  <si>
    <t>0314-2627086</t>
  </si>
  <si>
    <t>Fatima Sughra</t>
  </si>
  <si>
    <t>Qaiser Mehdi</t>
  </si>
  <si>
    <t>Nadir Ali</t>
  </si>
  <si>
    <t xml:space="preserve">0335-9513698 </t>
  </si>
  <si>
    <t>0335-9074739</t>
  </si>
  <si>
    <t>S. Hussain Raza</t>
  </si>
  <si>
    <t>S. Ali Akbar</t>
  </si>
  <si>
    <t>0335-7205244</t>
  </si>
  <si>
    <t>Fatima Muazzam</t>
  </si>
  <si>
    <t>Muazam Ali</t>
  </si>
  <si>
    <t>03329050004</t>
  </si>
  <si>
    <t>Ayan Ali</t>
  </si>
  <si>
    <t>M Kashaf haider</t>
  </si>
  <si>
    <t>Zohaib Hassan</t>
  </si>
  <si>
    <t>Wajihullah hassan</t>
  </si>
  <si>
    <t>Muhammad Abuzar</t>
  </si>
  <si>
    <t>Rayyan Abbas</t>
  </si>
  <si>
    <t>Adan Zahra</t>
  </si>
  <si>
    <t>Ayyan hussain</t>
  </si>
  <si>
    <t>Muhammad Ismail</t>
  </si>
  <si>
    <t>03339652264</t>
  </si>
  <si>
    <t>Danish</t>
  </si>
  <si>
    <t>Result day Juices</t>
  </si>
  <si>
    <t>Jabir ali</t>
  </si>
  <si>
    <t>Kunain Fatima</t>
  </si>
  <si>
    <t>Sajid Ali</t>
  </si>
  <si>
    <t>Abdul</t>
  </si>
  <si>
    <t xml:space="preserve">Fee </t>
  </si>
  <si>
    <t>Fee Received</t>
  </si>
  <si>
    <t>Elec Bill</t>
  </si>
  <si>
    <t>PTCL</t>
  </si>
  <si>
    <t>Tayyab</t>
  </si>
  <si>
    <t>Manha</t>
  </si>
  <si>
    <t>Fazila Abbas</t>
  </si>
  <si>
    <t>Sajad</t>
  </si>
  <si>
    <t>Sweeper</t>
  </si>
  <si>
    <t>Fees</t>
  </si>
  <si>
    <t>J 1</t>
  </si>
  <si>
    <t>J 2</t>
  </si>
  <si>
    <t>Previous</t>
  </si>
  <si>
    <t>Pending amount receive</t>
  </si>
  <si>
    <t>Pending fee</t>
  </si>
  <si>
    <t>Birth cert + SLC</t>
  </si>
  <si>
    <t>Chairs sold Kabar</t>
  </si>
  <si>
    <t>Saqia Batool</t>
  </si>
  <si>
    <t>Asst Teacher</t>
  </si>
  <si>
    <t>Zarwa Hassan</t>
  </si>
  <si>
    <t>Syed Waseem Ul Hassan</t>
  </si>
  <si>
    <t>Zimal</t>
  </si>
  <si>
    <t>Naseer</t>
  </si>
  <si>
    <t>Fadak Zahra</t>
  </si>
  <si>
    <t>Aoun Abbas</t>
  </si>
  <si>
    <t>Kubra Zahra</t>
  </si>
  <si>
    <t>Anshra</t>
  </si>
  <si>
    <t>Amna Batool</t>
  </si>
  <si>
    <t>M Hilal</t>
  </si>
  <si>
    <t xml:space="preserve">Sughra Ali  </t>
  </si>
  <si>
    <t>Nawazish Ali</t>
  </si>
  <si>
    <t xml:space="preserve">Murtaza Ali </t>
  </si>
  <si>
    <t>revised</t>
  </si>
  <si>
    <t>S Maisam Abbas</t>
  </si>
  <si>
    <t xml:space="preserve"> Syed Waseem Badsha</t>
  </si>
  <si>
    <t xml:space="preserve"> Jamal Khan</t>
  </si>
  <si>
    <t>Haniya Batool</t>
  </si>
  <si>
    <t>Zahida parween</t>
  </si>
  <si>
    <t>Mujataba Hassan</t>
  </si>
  <si>
    <t>Net Pkg Staff</t>
  </si>
  <si>
    <t>Adian Mehdi</t>
  </si>
  <si>
    <t>Rehan Ali</t>
  </si>
  <si>
    <t>Huda Muneer</t>
  </si>
  <si>
    <t>Muneer Abbas</t>
  </si>
  <si>
    <t>Waseem Hussain</t>
  </si>
  <si>
    <t>Javed Iqbal</t>
  </si>
  <si>
    <t>Komal Batool</t>
  </si>
  <si>
    <t>Maheen</t>
  </si>
  <si>
    <t>Muhammad Jasim</t>
  </si>
  <si>
    <t>Yaqoob Ali</t>
  </si>
  <si>
    <t>Kanwal Zahra</t>
  </si>
  <si>
    <t>Abeerah Zianab</t>
  </si>
  <si>
    <t>Raima Hussain</t>
  </si>
  <si>
    <t>Fareed Askar</t>
  </si>
  <si>
    <t>Muhadisa Batool</t>
  </si>
  <si>
    <t>Zakir Mehdi</t>
  </si>
  <si>
    <t>Qayas Mehdi</t>
  </si>
  <si>
    <t>Sabir Fatima</t>
  </si>
  <si>
    <t>Sakhi Jan</t>
  </si>
  <si>
    <t>J2</t>
  </si>
  <si>
    <t>Class Class 2 (A)</t>
  </si>
  <si>
    <t>Class Class 2 (B)</t>
  </si>
  <si>
    <t xml:space="preserve"> Class 5</t>
  </si>
  <si>
    <t>Wadiat Zahra</t>
  </si>
  <si>
    <t>Hoorain Zahra</t>
  </si>
  <si>
    <t>M Abbas</t>
  </si>
  <si>
    <t>Farhan Raza</t>
  </si>
  <si>
    <t>M Ibaad Ali</t>
  </si>
  <si>
    <t>Rafay Ali</t>
  </si>
  <si>
    <t>Saba Ali</t>
  </si>
  <si>
    <t>Iman Zahra</t>
  </si>
  <si>
    <t>Abbas Gulam</t>
  </si>
  <si>
    <t>Fakhar Mehdi</t>
  </si>
  <si>
    <t>Mutahir Ali</t>
  </si>
  <si>
    <t>Mishal Zahra</t>
  </si>
  <si>
    <t>Zeeshan Ali</t>
  </si>
  <si>
    <t>Daim Abbas</t>
  </si>
  <si>
    <t>Ghulam Hussain</t>
  </si>
  <si>
    <t>Mudassir Gulab</t>
  </si>
  <si>
    <t>Hussain Gulab</t>
  </si>
  <si>
    <t>Manan Hussain</t>
  </si>
  <si>
    <t>Gulshad Ali</t>
  </si>
  <si>
    <t>Sakeena Mehdi</t>
  </si>
  <si>
    <t>Fasiha Batool</t>
  </si>
  <si>
    <t>Shrafat   Ali</t>
  </si>
  <si>
    <t>Bali Sakina</t>
  </si>
  <si>
    <t>Roban Ali</t>
  </si>
  <si>
    <t>S.Ali Naveed Raza</t>
  </si>
  <si>
    <t>Sunbal Bahar</t>
  </si>
  <si>
    <t>Eshaal Fatima</t>
  </si>
  <si>
    <t>Nida Shirin</t>
  </si>
  <si>
    <t>Tufail Abbas</t>
  </si>
  <si>
    <t>Sughra Batool</t>
  </si>
  <si>
    <t>Wirda Zahra</t>
  </si>
  <si>
    <t>Muhammad Aoun</t>
  </si>
  <si>
    <t>Maryam Batool</t>
  </si>
  <si>
    <t>M.Shuja Abbas</t>
  </si>
  <si>
    <t>Muhammad Safi Raza</t>
  </si>
  <si>
    <t>Tawasal Zahra</t>
  </si>
  <si>
    <t>M Hannan Ali</t>
  </si>
  <si>
    <t>Hussain Abbas</t>
  </si>
  <si>
    <t>Wajdan Hussain</t>
  </si>
  <si>
    <t>Syed Sajad Hussain</t>
  </si>
  <si>
    <t>PLAY GROUP</t>
  </si>
  <si>
    <t>Hoor Fatima</t>
  </si>
  <si>
    <t xml:space="preserve">Naimat Ali </t>
  </si>
  <si>
    <t>Aun Muhammad</t>
  </si>
  <si>
    <t>Midhat Fatima</t>
  </si>
  <si>
    <t xml:space="preserve">Syeda Zaira Zainab </t>
  </si>
  <si>
    <t>Asad</t>
  </si>
  <si>
    <t>Hamza Hussain</t>
  </si>
  <si>
    <t>CLASS - JUNIOR 1</t>
  </si>
  <si>
    <t>Ghulam Sakina</t>
  </si>
  <si>
    <t xml:space="preserve">Muhammad Ashtar Abbas </t>
  </si>
  <si>
    <t xml:space="preserve">Abdullah Mehdi </t>
  </si>
  <si>
    <t>Sharjeel Haider</t>
  </si>
  <si>
    <t>Mehdi Abbas</t>
  </si>
  <si>
    <t>Shaiq Raza</t>
  </si>
  <si>
    <t>M.Bilal</t>
  </si>
  <si>
    <t>Fahad</t>
  </si>
  <si>
    <t>Maria Zainab</t>
  </si>
  <si>
    <t>Zimal Fatima</t>
  </si>
  <si>
    <t>Zuriyat Raza</t>
  </si>
  <si>
    <t>Junaid Raza</t>
  </si>
  <si>
    <t>Miss Sukaina</t>
  </si>
  <si>
    <t>Miss Noor Fatima</t>
  </si>
  <si>
    <t>Syed Rihab Raza</t>
  </si>
  <si>
    <t>Lubna Jaffery</t>
  </si>
  <si>
    <t>Adeel Raza</t>
  </si>
  <si>
    <t>June / July 2025 Ledger</t>
  </si>
  <si>
    <t>PAY ROLL - May Jun 2025</t>
  </si>
  <si>
    <t>Total
May Jun 2025</t>
  </si>
  <si>
    <t>Paid
May June 2025</t>
  </si>
  <si>
    <t>June Jul 2025 Ledger</t>
  </si>
  <si>
    <t>Total
(May Jun 2025)</t>
  </si>
  <si>
    <t>Paid
(May Jun 2025)</t>
  </si>
  <si>
    <t>Fan circuit</t>
  </si>
  <si>
    <t>Milkpack sugar tea, Sta, Toner filling, décor, net pkg</t>
  </si>
  <si>
    <t>Safina</t>
  </si>
  <si>
    <t>Ghora back to home</t>
  </si>
  <si>
    <t>adm</t>
  </si>
  <si>
    <t>Mar, April,May and Jun 25</t>
  </si>
  <si>
    <t>Tanky sold</t>
  </si>
  <si>
    <t>Books returned</t>
  </si>
  <si>
    <t>Distributed</t>
  </si>
  <si>
    <t xml:space="preserve">Repair of washroom </t>
  </si>
  <si>
    <t>Repair</t>
  </si>
  <si>
    <t>Well maintenance</t>
  </si>
  <si>
    <t>Paint Garder</t>
  </si>
  <si>
    <t>Branch</t>
  </si>
  <si>
    <t>Amount Received</t>
  </si>
  <si>
    <t>Cl1A</t>
  </si>
  <si>
    <t>Cl1B</t>
  </si>
  <si>
    <t>Cl3</t>
  </si>
  <si>
    <t>Cl4</t>
  </si>
  <si>
    <t>Cl5</t>
  </si>
  <si>
    <t>Account Received</t>
  </si>
  <si>
    <t>Account</t>
  </si>
  <si>
    <t>Agha Guloon</t>
  </si>
  <si>
    <t>Abdul Abbas</t>
  </si>
  <si>
    <t>Principal Br1</t>
  </si>
  <si>
    <t>Principal Br2</t>
  </si>
  <si>
    <t>Fund Br1</t>
  </si>
  <si>
    <t>Fund Br2</t>
  </si>
  <si>
    <t>ACCOUNT BALANCES</t>
  </si>
  <si>
    <t>Account Name</t>
  </si>
  <si>
    <t>Receipts</t>
  </si>
  <si>
    <t>Payments</t>
  </si>
  <si>
    <t>Tfr IN</t>
  </si>
  <si>
    <t>Tfr Out</t>
  </si>
  <si>
    <t>Net</t>
  </si>
  <si>
    <t>Date</t>
  </si>
  <si>
    <t>Desription</t>
  </si>
  <si>
    <t>From Account</t>
  </si>
  <si>
    <t>Total Fee</t>
  </si>
  <si>
    <t>Received Fee</t>
  </si>
  <si>
    <t>Balance Fee</t>
  </si>
  <si>
    <t>Collection Rate (%)</t>
  </si>
  <si>
    <t>To Account</t>
  </si>
  <si>
    <t>SubTotal</t>
  </si>
  <si>
    <t>Dua</t>
  </si>
  <si>
    <t>Syed Hassan Abdullah</t>
  </si>
  <si>
    <t>Row Labels</t>
  </si>
  <si>
    <t>Grand Total</t>
  </si>
  <si>
    <t>Distribution</t>
  </si>
  <si>
    <t>Agha</t>
  </si>
  <si>
    <t>Share</t>
  </si>
  <si>
    <t>Already Have</t>
  </si>
  <si>
    <t>Diff</t>
  </si>
  <si>
    <t>Sum of Amount</t>
  </si>
  <si>
    <t>Cl2</t>
  </si>
  <si>
    <t>Copies</t>
  </si>
  <si>
    <t>Status</t>
  </si>
  <si>
    <t>Salaries</t>
  </si>
  <si>
    <t>Motor</t>
  </si>
  <si>
    <t>Adm Total</t>
  </si>
  <si>
    <t>Paper</t>
  </si>
  <si>
    <t>Elec</t>
  </si>
  <si>
    <t>Miss Anila</t>
  </si>
  <si>
    <t>Miss Hani</t>
  </si>
  <si>
    <t>Miss Hina</t>
  </si>
  <si>
    <t>Miss Nazra</t>
  </si>
  <si>
    <t>Miss Safina</t>
  </si>
  <si>
    <t>Repair Total</t>
  </si>
  <si>
    <t>Elec Total</t>
  </si>
  <si>
    <t>Salaries Total</t>
  </si>
  <si>
    <t>Itaat Zahra</t>
  </si>
  <si>
    <t>Rent Total</t>
  </si>
  <si>
    <t>Motor Total</t>
  </si>
  <si>
    <t>(blank)</t>
  </si>
  <si>
    <t>(blank) Total</t>
  </si>
  <si>
    <t>Distributed Total</t>
  </si>
  <si>
    <t>Paper Total</t>
  </si>
  <si>
    <t>Net Total</t>
  </si>
  <si>
    <t>Miss Ume Laila</t>
  </si>
  <si>
    <t>Yasmeen Khala</t>
  </si>
  <si>
    <t>Muneer</t>
  </si>
  <si>
    <t>Scotch tape, Brufen, Lemon max, Sugar, gas, Gift, Plates, Kettle etc</t>
  </si>
  <si>
    <t>Printer</t>
  </si>
  <si>
    <t>Repair of Printer by Muneer</t>
  </si>
  <si>
    <t>Scrap Sold</t>
  </si>
  <si>
    <t>Birth Certf</t>
  </si>
  <si>
    <t>Syeda Tather Fatima</t>
  </si>
  <si>
    <t>Hasrat</t>
  </si>
  <si>
    <t>Zahida Parveen</t>
  </si>
  <si>
    <t>Fiza</t>
  </si>
  <si>
    <t xml:space="preserve">Sania </t>
  </si>
  <si>
    <t>S.Shane Haider</t>
  </si>
  <si>
    <t>Mujtaba Hassan</t>
  </si>
  <si>
    <t>20 paper</t>
  </si>
  <si>
    <t>All Staff</t>
  </si>
  <si>
    <t>Tonner, fare food</t>
  </si>
  <si>
    <t>Copies and Dairies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</si>
</sst>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[$-F800]dddd\,\ mmmm\ dd\,\ yyyy"/>
    <numFmt numFmtId="167" formatCode="#,##0.0"/>
    <numFmt numFmtId="168" formatCode="[$PKR]\ #,##0.00_);\([$PKR]\ #,##0.00\)"/>
    <numFmt numFmtId="169" formatCode="[$-409]mmmm\-yy;@"/>
    <numFmt numFmtId="170" formatCode="_([$PKR]\ * #,##0.00_);_([$PKR]\ * \(#,##0.00\);_([$PKR]\ * &quot;-&quot;??_);_(@_)"/>
    <numFmt numFmtId="171" formatCode="0.0"/>
    <numFmt numFmtId="172" formatCode="_(* #,##0.0_);_(* \(#,##0.0\);_(* &quot;-&quot;??_);_(@_)"/>
  </numFmts>
  <fonts count="56">
    <font>
      <sz val="11"/>
      <color rgb="FF000000"/>
      <name val="Calibri"/>
    </font>
    <font>
      <sz val="11"/>
      <color theme="1"/>
      <name val="Calibri"/>
      <family val="2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Calibri"/>
      <family val="2"/>
    </font>
    <font>
      <b/>
      <u/>
      <sz val="14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name val="Calibri"/>
      <family val="2"/>
      <charset val="1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ril"/>
    </font>
    <font>
      <sz val="11"/>
      <color rgb="FF000000"/>
      <name val="Arial"/>
      <family val="2"/>
    </font>
    <font>
      <b/>
      <u/>
      <sz val="12"/>
      <name val="Arial"/>
      <family val="2"/>
    </font>
    <font>
      <b/>
      <u/>
      <sz val="12"/>
      <color rgb="FFFF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u/>
      <sz val="12"/>
      <color rgb="FF000000"/>
      <name val="Arial"/>
      <family val="2"/>
    </font>
    <font>
      <sz val="10"/>
      <color rgb="FF000000"/>
      <name val="Arial"/>
      <family val="2"/>
    </font>
    <font>
      <b/>
      <u/>
      <sz val="14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E6E6E6"/>
      <name val="Calibri"/>
      <family val="2"/>
    </font>
    <font>
      <sz val="12"/>
      <color rgb="FFFF0000"/>
      <name val="Aril"/>
    </font>
    <font>
      <sz val="11"/>
      <name val="Calibri"/>
      <family val="2"/>
    </font>
    <font>
      <sz val="12"/>
      <color theme="0"/>
      <name val="Arial"/>
      <family val="2"/>
    </font>
    <font>
      <sz val="14"/>
      <name val="Arial"/>
      <family val="2"/>
    </font>
    <font>
      <sz val="10"/>
      <color rgb="FFFF0000"/>
      <name val="Arial"/>
      <family val="2"/>
    </font>
    <font>
      <sz val="12"/>
      <name val="Aril"/>
    </font>
    <font>
      <b/>
      <sz val="14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u/>
      <sz val="11"/>
      <color rgb="FF000000"/>
      <name val="Calibri"/>
      <family val="2"/>
    </font>
    <font>
      <b/>
      <sz val="10"/>
      <color rgb="FF000000"/>
      <name val="Arial"/>
      <family val="2"/>
    </font>
    <font>
      <sz val="8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985"/>
        <bgColor rgb="FF0563C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</borders>
  <cellStyleXfs count="10">
    <xf numFmtId="0" fontId="0" fillId="0" borderId="0"/>
    <xf numFmtId="43" fontId="7" fillId="0" borderId="0" applyFont="0" applyFill="0" applyBorder="0" applyAlignment="0" applyProtection="0"/>
    <xf numFmtId="0" fontId="11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9" fontId="28" fillId="0" borderId="0" applyFont="0" applyFill="0" applyBorder="0" applyAlignment="0" applyProtection="0"/>
    <xf numFmtId="46" fontId="30" fillId="4" borderId="42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6" fillId="8" borderId="49" applyNumberFormat="0" applyAlignment="0" applyProtection="0"/>
  </cellStyleXfs>
  <cellXfs count="511">
    <xf numFmtId="0" fontId="0" fillId="0" borderId="0" xfId="0"/>
    <xf numFmtId="0" fontId="1" fillId="0" borderId="0" xfId="0" applyFont="1" applyAlignment="1">
      <alignment vertical="center"/>
    </xf>
    <xf numFmtId="43" fontId="8" fillId="0" borderId="4" xfId="1" applyFont="1" applyBorder="1" applyAlignment="1">
      <alignment horizontal="center" vertical="center"/>
    </xf>
    <xf numFmtId="43" fontId="8" fillId="0" borderId="4" xfId="1" applyFont="1" applyBorder="1" applyAlignment="1">
      <alignment vertical="center"/>
    </xf>
    <xf numFmtId="165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43" fontId="9" fillId="0" borderId="4" xfId="1" applyFont="1" applyBorder="1"/>
    <xf numFmtId="0" fontId="8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15" fontId="8" fillId="0" borderId="4" xfId="0" applyNumberFormat="1" applyFont="1" applyBorder="1" applyAlignment="1">
      <alignment horizontal="center" vertical="center"/>
    </xf>
    <xf numFmtId="0" fontId="0" fillId="0" borderId="4" xfId="0" applyBorder="1"/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43" fontId="9" fillId="0" borderId="4" xfId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/>
    <xf numFmtId="165" fontId="10" fillId="0" borderId="4" xfId="0" applyNumberFormat="1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6" fillId="0" borderId="4" xfId="0" applyFont="1" applyBorder="1"/>
    <xf numFmtId="0" fontId="9" fillId="0" borderId="2" xfId="0" applyFont="1" applyBorder="1" applyAlignment="1">
      <alignment vertical="center"/>
    </xf>
    <xf numFmtId="0" fontId="8" fillId="0" borderId="4" xfId="0" applyFont="1" applyBorder="1"/>
    <xf numFmtId="0" fontId="8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8" fillId="0" borderId="0" xfId="0" applyFont="1"/>
    <xf numFmtId="0" fontId="14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8" fillId="0" borderId="4" xfId="0" quotePrefix="1" applyNumberFormat="1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43" fontId="9" fillId="0" borderId="0" xfId="1" applyFont="1" applyBorder="1"/>
    <xf numFmtId="165" fontId="1" fillId="0" borderId="0" xfId="0" applyNumberFormat="1" applyFont="1" applyAlignment="1">
      <alignment vertical="center"/>
    </xf>
    <xf numFmtId="43" fontId="17" fillId="0" borderId="0" xfId="1" applyFont="1" applyBorder="1" applyAlignment="1">
      <alignment vertical="center"/>
    </xf>
    <xf numFmtId="43" fontId="0" fillId="0" borderId="0" xfId="0" applyNumberFormat="1"/>
    <xf numFmtId="0" fontId="5" fillId="0" borderId="0" xfId="0" applyFont="1" applyAlignment="1">
      <alignment vertical="center" wrapText="1"/>
    </xf>
    <xf numFmtId="43" fontId="8" fillId="0" borderId="4" xfId="1" applyFont="1" applyFill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43" fontId="8" fillId="0" borderId="4" xfId="1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/>
    </xf>
    <xf numFmtId="43" fontId="15" fillId="0" borderId="19" xfId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 wrapText="1"/>
    </xf>
    <xf numFmtId="167" fontId="3" fillId="0" borderId="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8" fillId="0" borderId="11" xfId="0" applyFont="1" applyBorder="1" applyAlignment="1">
      <alignment horizontal="left" vertical="center" wrapText="1"/>
    </xf>
    <xf numFmtId="15" fontId="10" fillId="0" borderId="4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165" fontId="0" fillId="0" borderId="4" xfId="0" applyNumberFormat="1" applyBorder="1"/>
    <xf numFmtId="0" fontId="18" fillId="0" borderId="4" xfId="0" applyFont="1" applyBorder="1"/>
    <xf numFmtId="165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4" xfId="0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0" borderId="12" xfId="0" quotePrefix="1" applyFont="1" applyBorder="1" applyAlignment="1">
      <alignment horizontal="center" vertical="center" wrapText="1"/>
    </xf>
    <xf numFmtId="0" fontId="20" fillId="0" borderId="4" xfId="0" quotePrefix="1" applyFont="1" applyBorder="1" applyAlignment="1">
      <alignment horizontal="center" vertical="center" wrapText="1"/>
    </xf>
    <xf numFmtId="167" fontId="3" fillId="0" borderId="0" xfId="0" applyNumberFormat="1" applyFont="1" applyAlignment="1">
      <alignment vertical="center" wrapText="1"/>
    </xf>
    <xf numFmtId="0" fontId="8" fillId="0" borderId="4" xfId="0" quotePrefix="1" applyFont="1" applyBorder="1" applyAlignment="1">
      <alignment horizontal="center" vertical="center"/>
    </xf>
    <xf numFmtId="43" fontId="9" fillId="0" borderId="4" xfId="1" applyFont="1" applyFill="1" applyBorder="1"/>
    <xf numFmtId="165" fontId="10" fillId="0" borderId="0" xfId="0" applyNumberFormat="1" applyFont="1" applyAlignment="1">
      <alignment vertical="center"/>
    </xf>
    <xf numFmtId="0" fontId="8" fillId="0" borderId="7" xfId="0" applyFont="1" applyBorder="1" applyAlignment="1">
      <alignment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3" fontId="0" fillId="0" borderId="6" xfId="0" applyNumberFormat="1" applyBorder="1"/>
    <xf numFmtId="165" fontId="3" fillId="0" borderId="6" xfId="0" applyNumberFormat="1" applyFont="1" applyBorder="1" applyAlignment="1">
      <alignment vertical="center"/>
    </xf>
    <xf numFmtId="166" fontId="18" fillId="0" borderId="0" xfId="0" applyNumberFormat="1" applyFont="1"/>
    <xf numFmtId="4" fontId="15" fillId="0" borderId="18" xfId="1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 wrapText="1"/>
    </xf>
    <xf numFmtId="15" fontId="10" fillId="0" borderId="4" xfId="0" applyNumberFormat="1" applyFont="1" applyBorder="1" applyAlignment="1">
      <alignment horizontal="left"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8" fillId="0" borderId="4" xfId="0" quotePrefix="1" applyFont="1" applyBorder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10" fillId="0" borderId="22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vertical="center"/>
    </xf>
    <xf numFmtId="167" fontId="3" fillId="0" borderId="6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/>
    </xf>
    <xf numFmtId="0" fontId="9" fillId="0" borderId="12" xfId="0" quotePrefix="1" applyFont="1" applyBorder="1" applyAlignment="1">
      <alignment horizontal="center" vertical="center" wrapText="1"/>
    </xf>
    <xf numFmtId="4" fontId="0" fillId="0" borderId="0" xfId="0" applyNumberFormat="1"/>
    <xf numFmtId="0" fontId="2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 wrapText="1"/>
    </xf>
    <xf numFmtId="43" fontId="8" fillId="0" borderId="4" xfId="4" applyFont="1" applyFill="1" applyBorder="1" applyAlignment="1">
      <alignment horizontal="center" vertical="center"/>
    </xf>
    <xf numFmtId="165" fontId="12" fillId="0" borderId="4" xfId="0" applyNumberFormat="1" applyFont="1" applyBorder="1" applyAlignment="1">
      <alignment vertical="center"/>
    </xf>
    <xf numFmtId="49" fontId="8" fillId="0" borderId="5" xfId="0" quotePrefix="1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43" fontId="15" fillId="0" borderId="4" xfId="4" applyFont="1" applyFill="1" applyBorder="1" applyAlignment="1">
      <alignment vertical="center"/>
    </xf>
    <xf numFmtId="0" fontId="8" fillId="2" borderId="4" xfId="0" quotePrefix="1" applyFont="1" applyFill="1" applyBorder="1" applyAlignment="1">
      <alignment horizontal="center" vertical="center" wrapText="1"/>
    </xf>
    <xf numFmtId="0" fontId="8" fillId="2" borderId="12" xfId="0" quotePrefix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3" fontId="10" fillId="0" borderId="4" xfId="1" applyFont="1" applyFill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0" fillId="0" borderId="11" xfId="0" applyBorder="1"/>
    <xf numFmtId="0" fontId="9" fillId="0" borderId="4" xfId="0" applyFont="1" applyBorder="1" applyAlignment="1">
      <alignment horizontal="left" vertical="center" wrapText="1"/>
    </xf>
    <xf numFmtId="0" fontId="29" fillId="0" borderId="4" xfId="0" quotePrefix="1" applyFont="1" applyBorder="1" applyAlignment="1">
      <alignment horizontal="center" vertical="center" wrapText="1"/>
    </xf>
    <xf numFmtId="165" fontId="3" fillId="0" borderId="10" xfId="0" applyNumberFormat="1" applyFont="1" applyBorder="1" applyAlignment="1">
      <alignment vertical="center"/>
    </xf>
    <xf numFmtId="0" fontId="8" fillId="0" borderId="27" xfId="0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9" fillId="3" borderId="4" xfId="0" quotePrefix="1" applyFont="1" applyFill="1" applyBorder="1" applyAlignment="1">
      <alignment horizontal="center" vertical="center" wrapText="1"/>
    </xf>
    <xf numFmtId="0" fontId="32" fillId="3" borderId="4" xfId="0" applyFont="1" applyFill="1" applyBorder="1"/>
    <xf numFmtId="0" fontId="9" fillId="3" borderId="4" xfId="0" applyFont="1" applyFill="1" applyBorder="1" applyAlignment="1">
      <alignment horizontal="center" vertical="center" wrapText="1"/>
    </xf>
    <xf numFmtId="0" fontId="32" fillId="0" borderId="0" xfId="0" applyFont="1"/>
    <xf numFmtId="165" fontId="3" fillId="0" borderId="23" xfId="0" applyNumberFormat="1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0" fillId="0" borderId="17" xfId="0" applyFont="1" applyBorder="1" applyAlignment="1">
      <alignment vertical="center"/>
    </xf>
    <xf numFmtId="0" fontId="8" fillId="0" borderId="12" xfId="0" quotePrefix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vertical="center"/>
    </xf>
    <xf numFmtId="165" fontId="10" fillId="0" borderId="15" xfId="0" applyNumberFormat="1" applyFont="1" applyBorder="1" applyAlignment="1">
      <alignment vertical="center"/>
    </xf>
    <xf numFmtId="15" fontId="10" fillId="0" borderId="15" xfId="0" applyNumberFormat="1" applyFont="1" applyBorder="1" applyAlignment="1">
      <alignment horizontal="left" vertical="center"/>
    </xf>
    <xf numFmtId="0" fontId="10" fillId="0" borderId="21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165" fontId="13" fillId="0" borderId="18" xfId="0" applyNumberFormat="1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37" fillId="0" borderId="43" xfId="0" applyFont="1" applyBorder="1" applyAlignment="1">
      <alignment vertical="center" wrapText="1"/>
    </xf>
    <xf numFmtId="0" fontId="38" fillId="0" borderId="30" xfId="0" applyFont="1" applyBorder="1" applyAlignment="1">
      <alignment horizontal="center" vertical="center" wrapText="1"/>
    </xf>
    <xf numFmtId="0" fontId="39" fillId="0" borderId="44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 wrapText="1"/>
    </xf>
    <xf numFmtId="0" fontId="37" fillId="0" borderId="44" xfId="0" applyFont="1" applyBorder="1" applyAlignment="1">
      <alignment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3" fontId="39" fillId="0" borderId="35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3" borderId="7" xfId="0" applyFill="1" applyBorder="1"/>
    <xf numFmtId="0" fontId="8" fillId="0" borderId="11" xfId="0" applyFont="1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43" fontId="42" fillId="0" borderId="4" xfId="4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vertical="center"/>
    </xf>
    <xf numFmtId="0" fontId="44" fillId="0" borderId="4" xfId="0" applyFont="1" applyBorder="1" applyAlignment="1">
      <alignment vertical="center"/>
    </xf>
    <xf numFmtId="0" fontId="43" fillId="0" borderId="4" xfId="0" applyFont="1" applyBorder="1" applyAlignment="1">
      <alignment vertical="center"/>
    </xf>
    <xf numFmtId="0" fontId="42" fillId="0" borderId="4" xfId="0" applyFont="1" applyBorder="1" applyAlignment="1">
      <alignment horizontal="left" vertical="center" wrapText="1"/>
    </xf>
    <xf numFmtId="0" fontId="44" fillId="0" borderId="4" xfId="0" applyFont="1" applyBorder="1" applyAlignment="1">
      <alignment horizontal="left" vertical="center" wrapText="1"/>
    </xf>
    <xf numFmtId="0" fontId="42" fillId="0" borderId="27" xfId="0" applyFont="1" applyBorder="1" applyAlignment="1">
      <alignment horizontal="left" vertical="center" wrapText="1"/>
    </xf>
    <xf numFmtId="43" fontId="44" fillId="0" borderId="4" xfId="4" applyFont="1" applyBorder="1" applyAlignment="1">
      <alignment vertical="center"/>
    </xf>
    <xf numFmtId="0" fontId="42" fillId="0" borderId="2" xfId="0" applyFont="1" applyBorder="1" applyAlignment="1">
      <alignment vertical="center"/>
    </xf>
    <xf numFmtId="165" fontId="42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vertical="center"/>
    </xf>
    <xf numFmtId="165" fontId="44" fillId="0" borderId="2" xfId="0" applyNumberFormat="1" applyFont="1" applyBorder="1" applyAlignment="1">
      <alignment horizontal="center" vertical="center"/>
    </xf>
    <xf numFmtId="0" fontId="42" fillId="0" borderId="2" xfId="0" applyFont="1" applyBorder="1" applyAlignment="1">
      <alignment vertical="center" wrapText="1"/>
    </xf>
    <xf numFmtId="0" fontId="8" fillId="0" borderId="46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3" fontId="42" fillId="0" borderId="4" xfId="4" applyFont="1" applyFill="1" applyBorder="1" applyAlignment="1">
      <alignment horizontal="center" vertical="center"/>
    </xf>
    <xf numFmtId="0" fontId="45" fillId="0" borderId="4" xfId="0" applyFont="1" applyBorder="1" applyAlignment="1">
      <alignment vertical="center"/>
    </xf>
    <xf numFmtId="43" fontId="44" fillId="0" borderId="4" xfId="4" applyFont="1" applyFill="1" applyBorder="1" applyAlignment="1">
      <alignment horizontal="center" vertical="center"/>
    </xf>
    <xf numFmtId="0" fontId="42" fillId="0" borderId="9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8" fillId="0" borderId="22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167" fontId="3" fillId="0" borderId="27" xfId="0" applyNumberFormat="1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33" fillId="3" borderId="11" xfId="0" quotePrefix="1" applyFont="1" applyFill="1" applyBorder="1" applyAlignment="1">
      <alignment horizontal="center" vertical="center" wrapText="1"/>
    </xf>
    <xf numFmtId="0" fontId="9" fillId="3" borderId="12" xfId="0" quotePrefix="1" applyFont="1" applyFill="1" applyBorder="1" applyAlignment="1">
      <alignment horizontal="center" vertical="center" wrapText="1"/>
    </xf>
    <xf numFmtId="0" fontId="33" fillId="3" borderId="4" xfId="0" quotePrefix="1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43" fontId="8" fillId="0" borderId="27" xfId="4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6" xfId="0" applyBorder="1"/>
    <xf numFmtId="0" fontId="3" fillId="0" borderId="34" xfId="0" applyFont="1" applyBorder="1" applyAlignment="1">
      <alignment vertical="center"/>
    </xf>
    <xf numFmtId="43" fontId="44" fillId="0" borderId="4" xfId="4" applyFont="1" applyFill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9" fillId="0" borderId="7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165" fontId="42" fillId="0" borderId="36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43" fontId="9" fillId="0" borderId="4" xfId="4" applyFont="1" applyFill="1" applyBorder="1" applyAlignment="1">
      <alignment vertical="center"/>
    </xf>
    <xf numFmtId="43" fontId="9" fillId="0" borderId="4" xfId="4" applyFont="1" applyFill="1" applyBorder="1" applyAlignment="1">
      <alignment horizontal="center" vertical="center"/>
    </xf>
    <xf numFmtId="165" fontId="9" fillId="0" borderId="27" xfId="0" applyNumberFormat="1" applyFont="1" applyBorder="1" applyAlignment="1">
      <alignment horizontal="center" vertical="center"/>
    </xf>
    <xf numFmtId="43" fontId="8" fillId="0" borderId="27" xfId="1" applyFont="1" applyFill="1" applyBorder="1" applyAlignment="1">
      <alignment vertical="center"/>
    </xf>
    <xf numFmtId="0" fontId="10" fillId="0" borderId="27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9" fillId="0" borderId="4" xfId="0" applyFont="1" applyBorder="1"/>
    <xf numFmtId="0" fontId="3" fillId="0" borderId="2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165" fontId="13" fillId="0" borderId="4" xfId="0" applyNumberFormat="1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165" fontId="0" fillId="0" borderId="0" xfId="0" applyNumberFormat="1"/>
    <xf numFmtId="4" fontId="15" fillId="0" borderId="18" xfId="1" applyNumberFormat="1" applyFont="1" applyFill="1" applyBorder="1" applyAlignment="1">
      <alignment horizontal="center" vertical="center"/>
    </xf>
    <xf numFmtId="43" fontId="15" fillId="0" borderId="19" xfId="1" applyFont="1" applyFill="1" applyBorder="1" applyAlignment="1">
      <alignment horizontal="center" vertical="center"/>
    </xf>
    <xf numFmtId="0" fontId="0" fillId="0" borderId="25" xfId="0" applyBorder="1"/>
    <xf numFmtId="0" fontId="0" fillId="0" borderId="0" xfId="0" applyAlignment="1">
      <alignment wrapText="1"/>
    </xf>
    <xf numFmtId="0" fontId="24" fillId="0" borderId="4" xfId="0" applyFont="1" applyBorder="1" applyAlignment="1">
      <alignment horizontal="left" vertical="center" wrapText="1"/>
    </xf>
    <xf numFmtId="43" fontId="10" fillId="0" borderId="5" xfId="1" applyFont="1" applyFill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167" fontId="3" fillId="0" borderId="7" xfId="0" applyNumberFormat="1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167" fontId="3" fillId="0" borderId="27" xfId="0" applyNumberFormat="1" applyFont="1" applyBorder="1" applyAlignment="1">
      <alignment vertical="center" wrapText="1"/>
    </xf>
    <xf numFmtId="0" fontId="10" fillId="0" borderId="5" xfId="0" applyFont="1" applyBorder="1" applyAlignment="1">
      <alignment vertical="center"/>
    </xf>
    <xf numFmtId="14" fontId="0" fillId="0" borderId="0" xfId="0" applyNumberFormat="1"/>
    <xf numFmtId="0" fontId="10" fillId="0" borderId="5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/>
    </xf>
    <xf numFmtId="15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24" fillId="0" borderId="5" xfId="0" applyFont="1" applyBorder="1" applyAlignment="1">
      <alignment vertical="center" wrapText="1"/>
    </xf>
    <xf numFmtId="43" fontId="9" fillId="0" borderId="0" xfId="1" applyFont="1" applyFill="1" applyBorder="1"/>
    <xf numFmtId="0" fontId="10" fillId="0" borderId="26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4" fillId="0" borderId="5" xfId="0" applyFont="1" applyBorder="1" applyAlignment="1">
      <alignment vertical="center"/>
    </xf>
    <xf numFmtId="0" fontId="8" fillId="0" borderId="2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4" xfId="0" quotePrefix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3" fontId="17" fillId="0" borderId="0" xfId="1" applyFont="1" applyFill="1" applyBorder="1" applyAlignment="1">
      <alignment vertical="center"/>
    </xf>
    <xf numFmtId="0" fontId="44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8" fillId="0" borderId="12" xfId="0" applyFont="1" applyBorder="1"/>
    <xf numFmtId="49" fontId="8" fillId="0" borderId="2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3" fontId="3" fillId="0" borderId="4" xfId="1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27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vertical="center" wrapText="1"/>
    </xf>
    <xf numFmtId="43" fontId="1" fillId="0" borderId="0" xfId="0" applyNumberFormat="1" applyFont="1" applyAlignment="1">
      <alignment vertical="center"/>
    </xf>
    <xf numFmtId="0" fontId="34" fillId="0" borderId="4" xfId="0" applyFont="1" applyBorder="1" applyAlignment="1">
      <alignment horizontal="center" vertical="center" wrapText="1"/>
    </xf>
    <xf numFmtId="167" fontId="3" fillId="0" borderId="28" xfId="0" applyNumberFormat="1" applyFont="1" applyBorder="1" applyAlignment="1">
      <alignment vertical="center" wrapText="1"/>
    </xf>
    <xf numFmtId="0" fontId="26" fillId="0" borderId="12" xfId="0" quotePrefix="1" applyFont="1" applyBorder="1" applyAlignment="1">
      <alignment horizontal="center" vertical="center" wrapText="1"/>
    </xf>
    <xf numFmtId="0" fontId="35" fillId="0" borderId="4" xfId="0" quotePrefix="1" applyFont="1" applyBorder="1" applyAlignment="1">
      <alignment horizontal="center" vertical="center" wrapText="1"/>
    </xf>
    <xf numFmtId="165" fontId="8" fillId="0" borderId="0" xfId="0" applyNumberFormat="1" applyFont="1" applyAlignment="1">
      <alignment vertical="center"/>
    </xf>
    <xf numFmtId="0" fontId="6" fillId="0" borderId="4" xfId="0" quotePrefix="1" applyFont="1" applyBorder="1" applyAlignment="1">
      <alignment horizontal="center" vertical="center" wrapText="1"/>
    </xf>
    <xf numFmtId="167" fontId="23" fillId="0" borderId="4" xfId="0" applyNumberFormat="1" applyFont="1" applyBorder="1" applyAlignment="1">
      <alignment horizontal="center" vertical="center" wrapText="1"/>
    </xf>
    <xf numFmtId="0" fontId="8" fillId="0" borderId="27" xfId="0" quotePrefix="1" applyFont="1" applyBorder="1" applyAlignment="1">
      <alignment horizontal="center" vertical="center" wrapText="1"/>
    </xf>
    <xf numFmtId="0" fontId="20" fillId="0" borderId="12" xfId="0" quotePrefix="1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167" fontId="5" fillId="0" borderId="0" xfId="0" applyNumberFormat="1" applyFont="1" applyAlignment="1">
      <alignment vertical="center" wrapText="1"/>
    </xf>
    <xf numFmtId="43" fontId="9" fillId="0" borderId="4" xfId="1" applyFont="1" applyFill="1" applyBorder="1" applyAlignment="1">
      <alignment vertical="center"/>
    </xf>
    <xf numFmtId="49" fontId="8" fillId="0" borderId="4" xfId="0" applyNumberFormat="1" applyFont="1" applyBorder="1" applyAlignment="1">
      <alignment horizontal="center" vertical="center"/>
    </xf>
    <xf numFmtId="43" fontId="9" fillId="0" borderId="4" xfId="1" applyFont="1" applyFill="1" applyBorder="1" applyAlignment="1">
      <alignment vertical="center" wrapText="1"/>
    </xf>
    <xf numFmtId="0" fontId="29" fillId="0" borderId="12" xfId="0" quotePrefix="1" applyFont="1" applyBorder="1" applyAlignment="1">
      <alignment horizontal="center" vertical="center" wrapText="1"/>
    </xf>
    <xf numFmtId="2" fontId="13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49" fontId="8" fillId="0" borderId="2" xfId="0" quotePrefix="1" applyNumberFormat="1" applyFont="1" applyBorder="1" applyAlignment="1">
      <alignment horizontal="center" vertical="center"/>
    </xf>
    <xf numFmtId="165" fontId="42" fillId="0" borderId="4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49" fontId="8" fillId="0" borderId="2" xfId="0" quotePrefix="1" applyNumberFormat="1" applyFont="1" applyBorder="1" applyAlignment="1">
      <alignment horizontal="center" vertical="center" wrapText="1"/>
    </xf>
    <xf numFmtId="43" fontId="8" fillId="0" borderId="2" xfId="1" quotePrefix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165" fontId="4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0" fillId="0" borderId="4" xfId="0" quotePrefix="1" applyFont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25" fillId="0" borderId="0" xfId="0" applyFont="1" applyAlignment="1">
      <alignment vertical="center"/>
    </xf>
    <xf numFmtId="167" fontId="8" fillId="0" borderId="0" xfId="0" applyNumberFormat="1" applyFont="1" applyAlignment="1">
      <alignment vertical="center"/>
    </xf>
    <xf numFmtId="43" fontId="8" fillId="0" borderId="0" xfId="0" applyNumberFormat="1" applyFont="1" applyAlignment="1">
      <alignment vertical="center"/>
    </xf>
    <xf numFmtId="166" fontId="3" fillId="0" borderId="4" xfId="0" applyNumberFormat="1" applyFont="1" applyBorder="1" applyAlignment="1">
      <alignment horizontal="center" vertical="center"/>
    </xf>
    <xf numFmtId="166" fontId="8" fillId="0" borderId="4" xfId="0" applyNumberFormat="1" applyFont="1" applyBorder="1" applyAlignment="1">
      <alignment vertical="center"/>
    </xf>
    <xf numFmtId="43" fontId="13" fillId="0" borderId="0" xfId="0" applyNumberFormat="1" applyFont="1" applyAlignment="1">
      <alignment vertical="center"/>
    </xf>
    <xf numFmtId="0" fontId="6" fillId="0" borderId="0" xfId="0" applyFont="1"/>
    <xf numFmtId="0" fontId="3" fillId="0" borderId="4" xfId="0" applyFont="1" applyBorder="1"/>
    <xf numFmtId="9" fontId="3" fillId="0" borderId="4" xfId="0" applyNumberFormat="1" applyFont="1" applyBorder="1" applyAlignment="1">
      <alignment horizontal="center" vertical="center"/>
    </xf>
    <xf numFmtId="165" fontId="42" fillId="0" borderId="1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0" fillId="6" borderId="0" xfId="0" applyFill="1"/>
    <xf numFmtId="0" fontId="29" fillId="0" borderId="0" xfId="0" applyFont="1" applyAlignment="1">
      <alignment vertical="center"/>
    </xf>
    <xf numFmtId="0" fontId="26" fillId="0" borderId="0" xfId="0" applyFont="1"/>
    <xf numFmtId="43" fontId="8" fillId="0" borderId="3" xfId="0" applyNumberFormat="1" applyFont="1" applyBorder="1" applyAlignment="1">
      <alignment vertical="center"/>
    </xf>
    <xf numFmtId="15" fontId="0" fillId="0" borderId="0" xfId="0" applyNumberFormat="1"/>
    <xf numFmtId="168" fontId="46" fillId="8" borderId="52" xfId="1" applyNumberFormat="1" applyFont="1" applyFill="1" applyBorder="1" applyAlignment="1"/>
    <xf numFmtId="168" fontId="46" fillId="8" borderId="53" xfId="1" applyNumberFormat="1" applyFont="1" applyFill="1" applyBorder="1" applyAlignment="1"/>
    <xf numFmtId="0" fontId="29" fillId="0" borderId="0" xfId="0" applyFont="1"/>
    <xf numFmtId="0" fontId="29" fillId="0" borderId="0" xfId="0" applyFont="1" applyAlignment="1">
      <alignment vertical="center" wrapText="1"/>
    </xf>
    <xf numFmtId="0" fontId="4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8" fillId="6" borderId="0" xfId="0" applyFont="1" applyFill="1"/>
    <xf numFmtId="3" fontId="18" fillId="0" borderId="0" xfId="0" applyNumberFormat="1" applyFont="1"/>
    <xf numFmtId="43" fontId="0" fillId="0" borderId="0" xfId="1" applyFont="1" applyAlignment="1"/>
    <xf numFmtId="9" fontId="0" fillId="0" borderId="0" xfId="5" applyFont="1" applyAlignment="1">
      <alignment horizontal="center" vertical="center" wrapText="1"/>
    </xf>
    <xf numFmtId="0" fontId="18" fillId="2" borderId="0" xfId="0" applyFont="1" applyFill="1" applyAlignment="1">
      <alignment vertical="center" wrapText="1"/>
    </xf>
    <xf numFmtId="3" fontId="18" fillId="2" borderId="0" xfId="0" applyNumberFormat="1" applyFont="1" applyFill="1" applyAlignment="1">
      <alignment vertical="center" wrapText="1"/>
    </xf>
    <xf numFmtId="9" fontId="18" fillId="2" borderId="0" xfId="5" applyFont="1" applyFill="1" applyAlignment="1">
      <alignment horizontal="center" vertical="center" wrapText="1"/>
    </xf>
    <xf numFmtId="3" fontId="18" fillId="2" borderId="0" xfId="0" applyNumberFormat="1" applyFont="1" applyFill="1"/>
    <xf numFmtId="43" fontId="10" fillId="0" borderId="4" xfId="1" applyFont="1" applyFill="1" applyBorder="1" applyAlignment="1">
      <alignment horizontal="center" vertical="center" wrapText="1"/>
    </xf>
    <xf numFmtId="0" fontId="48" fillId="6" borderId="0" xfId="0" applyFont="1" applyFill="1"/>
    <xf numFmtId="0" fontId="0" fillId="2" borderId="0" xfId="0" applyFill="1"/>
    <xf numFmtId="0" fontId="29" fillId="0" borderId="0" xfId="0" applyFont="1" applyAlignment="1">
      <alignment horizontal="left" vertical="center" wrapText="1"/>
    </xf>
    <xf numFmtId="0" fontId="4" fillId="0" borderId="0" xfId="0" applyFont="1"/>
    <xf numFmtId="14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8" fontId="0" fillId="0" borderId="0" xfId="0" applyNumberFormat="1"/>
    <xf numFmtId="43" fontId="18" fillId="0" borderId="0" xfId="0" applyNumberFormat="1" applyFont="1"/>
    <xf numFmtId="168" fontId="18" fillId="0" borderId="0" xfId="0" applyNumberFormat="1" applyFont="1"/>
    <xf numFmtId="0" fontId="18" fillId="0" borderId="0" xfId="0" applyFont="1" applyAlignment="1">
      <alignment horizontal="center" vertical="center"/>
    </xf>
    <xf numFmtId="0" fontId="50" fillId="0" borderId="0" xfId="0" applyFont="1"/>
    <xf numFmtId="0" fontId="46" fillId="8" borderId="50" xfId="9" applyBorder="1" applyAlignment="1">
      <alignment vertical="center"/>
    </xf>
    <xf numFmtId="0" fontId="46" fillId="8" borderId="51" xfId="9" applyBorder="1" applyAlignment="1">
      <alignment vertical="center"/>
    </xf>
    <xf numFmtId="43" fontId="18" fillId="0" borderId="0" xfId="1" applyFont="1" applyAlignment="1"/>
    <xf numFmtId="0" fontId="0" fillId="0" borderId="0" xfId="0" applyAlignment="1">
      <alignment horizontal="center" vertical="center"/>
    </xf>
    <xf numFmtId="9" fontId="0" fillId="0" borderId="0" xfId="5" applyFont="1" applyAlignment="1"/>
    <xf numFmtId="0" fontId="15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/>
    </xf>
    <xf numFmtId="43" fontId="9" fillId="0" borderId="0" xfId="1" applyFont="1" applyFill="1" applyBorder="1" applyAlignment="1">
      <alignment horizontal="center" vertical="center" wrapText="1"/>
    </xf>
    <xf numFmtId="43" fontId="8" fillId="0" borderId="0" xfId="1" applyFont="1" applyFill="1" applyBorder="1" applyAlignment="1">
      <alignment vertical="center" wrapText="1"/>
    </xf>
    <xf numFmtId="43" fontId="8" fillId="0" borderId="0" xfId="1" applyFont="1" applyFill="1" applyBorder="1" applyAlignment="1">
      <alignment horizontal="center" vertical="center" wrapText="1"/>
    </xf>
    <xf numFmtId="43" fontId="9" fillId="0" borderId="0" xfId="1" applyFont="1" applyBorder="1" applyAlignment="1"/>
    <xf numFmtId="43" fontId="9" fillId="0" borderId="0" xfId="1" applyFont="1" applyBorder="1" applyAlignment="1">
      <alignment horizontal="center" vertical="center"/>
    </xf>
    <xf numFmtId="0" fontId="9" fillId="0" borderId="0" xfId="0" applyFont="1"/>
    <xf numFmtId="43" fontId="9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3" fontId="9" fillId="0" borderId="0" xfId="4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3" fontId="9" fillId="0" borderId="0" xfId="4" applyFont="1" applyBorder="1" applyAlignment="1">
      <alignment horizontal="center" vertical="center"/>
    </xf>
    <xf numFmtId="43" fontId="9" fillId="0" borderId="0" xfId="0" applyNumberFormat="1" applyFont="1" applyAlignment="1">
      <alignment horizontal="center" vertical="center"/>
    </xf>
    <xf numFmtId="43" fontId="15" fillId="2" borderId="0" xfId="1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6" fillId="6" borderId="0" xfId="0" applyFont="1" applyFill="1"/>
    <xf numFmtId="0" fontId="29" fillId="0" borderId="0" xfId="0" applyFont="1" applyProtection="1">
      <protection locked="0"/>
    </xf>
    <xf numFmtId="15" fontId="6" fillId="0" borderId="0" xfId="0" applyNumberFormat="1" applyFont="1"/>
    <xf numFmtId="0" fontId="48" fillId="9" borderId="0" xfId="0" applyFont="1" applyFill="1"/>
    <xf numFmtId="0" fontId="48" fillId="6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6" fillId="8" borderId="54" xfId="9" applyBorder="1" applyAlignment="1">
      <alignment horizontal="center" vertical="center"/>
    </xf>
    <xf numFmtId="0" fontId="46" fillId="8" borderId="55" xfId="9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9" fillId="3" borderId="0" xfId="0" applyFont="1" applyFill="1"/>
    <xf numFmtId="0" fontId="2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50" fillId="0" borderId="0" xfId="0" pivotButton="1" applyFont="1"/>
    <xf numFmtId="0" fontId="50" fillId="0" borderId="0" xfId="0" applyFont="1" applyAlignment="1">
      <alignment horizontal="left"/>
    </xf>
    <xf numFmtId="0" fontId="50" fillId="0" borderId="0" xfId="0" applyFont="1" applyAlignment="1">
      <alignment horizontal="left" indent="1"/>
    </xf>
    <xf numFmtId="170" fontId="50" fillId="0" borderId="0" xfId="0" applyNumberFormat="1" applyFont="1"/>
    <xf numFmtId="171" fontId="15" fillId="6" borderId="0" xfId="1" applyNumberFormat="1" applyFont="1" applyFill="1" applyBorder="1" applyAlignment="1">
      <alignment horizontal="center" vertical="center"/>
    </xf>
    <xf numFmtId="171" fontId="15" fillId="2" borderId="0" xfId="1" applyNumberFormat="1" applyFont="1" applyFill="1" applyBorder="1" applyAlignment="1">
      <alignment horizontal="center" vertical="center"/>
    </xf>
    <xf numFmtId="171" fontId="9" fillId="0" borderId="0" xfId="1" applyNumberFormat="1" applyFont="1" applyBorder="1" applyAlignment="1">
      <alignment horizontal="center" vertical="center"/>
    </xf>
    <xf numFmtId="12" fontId="0" fillId="0" borderId="0" xfId="1" applyNumberFormat="1" applyFont="1" applyAlignment="1"/>
    <xf numFmtId="0" fontId="6" fillId="0" borderId="0" xfId="0" applyFont="1" applyAlignment="1">
      <alignment vertical="center" wrapText="1"/>
    </xf>
    <xf numFmtId="172" fontId="52" fillId="0" borderId="0" xfId="1" applyNumberFormat="1" applyFont="1" applyAlignment="1"/>
    <xf numFmtId="172" fontId="26" fillId="0" borderId="0" xfId="1" applyNumberFormat="1" applyFont="1" applyBorder="1" applyAlignment="1"/>
    <xf numFmtId="172" fontId="26" fillId="0" borderId="0" xfId="1" applyNumberFormat="1" applyFont="1" applyAlignment="1"/>
    <xf numFmtId="172" fontId="26" fillId="0" borderId="0" xfId="4" applyNumberFormat="1" applyFont="1" applyAlignment="1"/>
    <xf numFmtId="172" fontId="0" fillId="0" borderId="0" xfId="4" applyNumberFormat="1" applyFont="1" applyAlignment="1"/>
    <xf numFmtId="172" fontId="26" fillId="0" borderId="0" xfId="1" applyNumberFormat="1" applyFont="1" applyAlignment="1">
      <alignment vertical="center"/>
    </xf>
    <xf numFmtId="172" fontId="6" fillId="0" borderId="0" xfId="1" applyNumberFormat="1" applyFont="1" applyAlignment="1">
      <alignment vertical="center"/>
    </xf>
    <xf numFmtId="172" fontId="6" fillId="0" borderId="0" xfId="0" applyNumberFormat="1" applyFont="1" applyAlignment="1">
      <alignment vertical="center"/>
    </xf>
    <xf numFmtId="15" fontId="0" fillId="0" borderId="0" xfId="0" applyNumberFormat="1" applyAlignment="1">
      <alignment vertical="center"/>
    </xf>
    <xf numFmtId="0" fontId="18" fillId="0" borderId="0" xfId="0" applyFont="1" applyAlignment="1">
      <alignment horizontal="center"/>
    </xf>
    <xf numFmtId="1" fontId="0" fillId="0" borderId="0" xfId="0" applyNumberFormat="1"/>
    <xf numFmtId="43" fontId="8" fillId="10" borderId="0" xfId="4" applyFont="1" applyFill="1" applyBorder="1" applyAlignment="1">
      <alignment horizontal="left" vertical="top" wrapText="1"/>
    </xf>
    <xf numFmtId="43" fontId="8" fillId="0" borderId="0" xfId="4" applyFont="1" applyFill="1" applyBorder="1" applyAlignment="1">
      <alignment horizontal="center" vertical="top" wrapText="1"/>
    </xf>
    <xf numFmtId="167" fontId="8" fillId="10" borderId="0" xfId="0" applyNumberFormat="1" applyFont="1" applyFill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43" fontId="8" fillId="0" borderId="0" xfId="4" applyFont="1" applyFill="1" applyBorder="1" applyAlignment="1">
      <alignment horizontal="left" vertical="top" wrapText="1"/>
    </xf>
    <xf numFmtId="43" fontId="8" fillId="0" borderId="0" xfId="4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43" fontId="9" fillId="10" borderId="0" xfId="4" applyFont="1" applyFill="1" applyBorder="1" applyAlignment="1">
      <alignment horizontal="center" vertical="center"/>
    </xf>
    <xf numFmtId="43" fontId="8" fillId="0" borderId="0" xfId="4" applyFont="1" applyFill="1" applyBorder="1" applyAlignment="1">
      <alignment horizontal="center" vertical="center"/>
    </xf>
    <xf numFmtId="165" fontId="8" fillId="10" borderId="0" xfId="0" applyNumberFormat="1" applyFont="1" applyFill="1" applyAlignment="1">
      <alignment horizontal="center" vertical="center"/>
    </xf>
    <xf numFmtId="0" fontId="29" fillId="11" borderId="0" xfId="0" applyFont="1" applyFill="1"/>
    <xf numFmtId="0" fontId="29" fillId="11" borderId="0" xfId="0" applyFont="1" applyFill="1" applyAlignment="1">
      <alignment horizontal="center" vertical="center"/>
    </xf>
    <xf numFmtId="0" fontId="29" fillId="11" borderId="0" xfId="0" applyFont="1" applyFill="1" applyAlignment="1">
      <alignment vertical="center"/>
    </xf>
    <xf numFmtId="43" fontId="9" fillId="11" borderId="0" xfId="1" applyFont="1" applyFill="1" applyBorder="1" applyAlignment="1">
      <alignment horizontal="center" vertical="center"/>
    </xf>
    <xf numFmtId="0" fontId="29" fillId="11" borderId="0" xfId="0" applyFont="1" applyFill="1" applyProtection="1">
      <protection locked="0"/>
    </xf>
    <xf numFmtId="0" fontId="29" fillId="11" borderId="0" xfId="0" applyFont="1" applyFill="1" applyAlignment="1">
      <alignment horizontal="left" vertical="center" wrapText="1"/>
    </xf>
    <xf numFmtId="43" fontId="9" fillId="11" borderId="0" xfId="1" applyFont="1" applyFill="1" applyBorder="1" applyAlignment="1">
      <alignment horizontal="center" vertical="center" wrapText="1"/>
    </xf>
    <xf numFmtId="43" fontId="8" fillId="11" borderId="0" xfId="1" applyFont="1" applyFill="1" applyBorder="1" applyAlignment="1">
      <alignment horizontal="center" vertical="center" wrapText="1"/>
    </xf>
    <xf numFmtId="0" fontId="29" fillId="11" borderId="0" xfId="0" applyFont="1" applyFill="1" applyAlignment="1">
      <alignment vertical="center" wrapText="1"/>
    </xf>
    <xf numFmtId="43" fontId="8" fillId="11" borderId="0" xfId="1" applyFont="1" applyFill="1" applyBorder="1" applyAlignment="1">
      <alignment vertical="center" wrapText="1"/>
    </xf>
    <xf numFmtId="0" fontId="29" fillId="10" borderId="0" xfId="0" applyFont="1" applyFill="1" applyAlignment="1">
      <alignment vertical="center"/>
    </xf>
    <xf numFmtId="0" fontId="54" fillId="0" borderId="4" xfId="0" applyFont="1" applyBorder="1"/>
    <xf numFmtId="0" fontId="55" fillId="0" borderId="4" xfId="0" applyFont="1" applyBorder="1"/>
    <xf numFmtId="43" fontId="0" fillId="0" borderId="0" xfId="1" applyFont="1"/>
    <xf numFmtId="43" fontId="0" fillId="0" borderId="4" xfId="1" applyFont="1" applyBorder="1" applyAlignment="1">
      <alignment horizontal="center" vertical="center"/>
    </xf>
    <xf numFmtId="0" fontId="54" fillId="0" borderId="0" xfId="0" applyFont="1"/>
    <xf numFmtId="0" fontId="51" fillId="2" borderId="0" xfId="0" applyFont="1" applyFill="1" applyAlignment="1">
      <alignment horizontal="center" vertical="center"/>
    </xf>
    <xf numFmtId="0" fontId="51" fillId="2" borderId="0" xfId="0" applyFont="1" applyFill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38" xfId="0" applyFont="1" applyBorder="1"/>
    <xf numFmtId="0" fontId="9" fillId="0" borderId="39" xfId="0" applyFont="1" applyBorder="1"/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4" xfId="0" applyFont="1" applyBorder="1"/>
    <xf numFmtId="0" fontId="2" fillId="0" borderId="3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0" borderId="18" xfId="0" applyFont="1" applyBorder="1"/>
    <xf numFmtId="0" fontId="5" fillId="0" borderId="28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0" fillId="0" borderId="0" xfId="0"/>
    <xf numFmtId="169" fontId="49" fillId="2" borderId="0" xfId="0" applyNumberFormat="1" applyFont="1" applyFill="1" applyAlignment="1">
      <alignment horizontal="center"/>
    </xf>
  </cellXfs>
  <cellStyles count="10">
    <cellStyle name="Check Cell" xfId="9" builtinId="23"/>
    <cellStyle name="Comma" xfId="1" builtinId="3"/>
    <cellStyle name="Comma 2" xfId="4" xr:uid="{00000000-0005-0000-0000-000002000000}"/>
    <cellStyle name="Currency 2" xfId="7" xr:uid="{00000000-0005-0000-0000-000003000000}"/>
    <cellStyle name="Normal" xfId="0" builtinId="0"/>
    <cellStyle name="Normal 2" xfId="2" xr:uid="{00000000-0005-0000-0000-000005000000}"/>
    <cellStyle name="Normal 3" xfId="3" xr:uid="{00000000-0005-0000-0000-000006000000}"/>
    <cellStyle name="Percent" xfId="5" builtinId="5"/>
    <cellStyle name="Percent 2" xfId="8" xr:uid="{00000000-0005-0000-0000-000008000000}"/>
    <cellStyle name="Result2" xfId="6" xr:uid="{00000000-0005-0000-0000-000009000000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0" formatCode="_([$PKR]\ * #,##0.00_);_([$PKR]\ * \(#,##0.00\);_([$PKR]\ * &quot;-&quot;??_);_(@_)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[$PKR]\ #,##0.00_);\([$PKR]\ #,##0.00\)"/>
      <fill>
        <patternFill patternType="solid">
          <fgColor indexed="64"/>
          <bgColor rgb="FFA5A5A5"/>
        </patternFill>
      </fill>
      <alignment horizontal="general" vertical="bottom" textRotation="0" wrapText="0" indent="0" justifyLastLine="0" shrinkToFit="0" readingOrder="0"/>
      <border diagonalUp="0" diagonalDown="0" outline="0">
        <left style="double">
          <color rgb="FF3F3F3F"/>
        </left>
        <right/>
        <top style="double">
          <color rgb="FF3F3F3F"/>
        </top>
        <bottom style="double">
          <color rgb="FF3F3F3F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border outline="0">
        <left style="double">
          <color rgb="FF3F3F3F"/>
        </left>
        <right style="double">
          <color rgb="FF3F3F3F"/>
        </right>
        <top style="double">
          <color rgb="FF3F3F3F"/>
        </top>
      </border>
    </dxf>
    <dxf>
      <border outline="0">
        <bottom style="double">
          <color rgb="FF3F3F3F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u="sng"/>
              <a:t>ACCOUNT 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 New'!$A$12</c:f>
              <c:strCache>
                <c:ptCount val="1"/>
                <c:pt idx="0">
                  <c:v>Shah Mir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New'!$B$12</c:f>
              <c:numCache>
                <c:formatCode>[$PKR]\ #,##0.00_);\([$PKR]\ #,##0.00\)</c:formatCode>
                <c:ptCount val="1"/>
                <c:pt idx="0">
                  <c:v>-1000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A-4743-AC6B-59281DCF2700}"/>
            </c:ext>
          </c:extLst>
        </c:ser>
        <c:ser>
          <c:idx val="1"/>
          <c:order val="1"/>
          <c:tx>
            <c:strRef>
              <c:f>'MS New'!$A$13</c:f>
              <c:strCache>
                <c:ptCount val="1"/>
                <c:pt idx="0">
                  <c:v>Agha Guloon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New'!$B$13</c:f>
              <c:numCache>
                <c:formatCode>[$PKR]\ #,##0.00_);\([$PKR]\ #,##0.00\)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A-4743-AC6B-59281DCF2700}"/>
            </c:ext>
          </c:extLst>
        </c:ser>
        <c:ser>
          <c:idx val="2"/>
          <c:order val="2"/>
          <c:tx>
            <c:strRef>
              <c:f>'MS New'!$A$14</c:f>
              <c:strCache>
                <c:ptCount val="1"/>
                <c:pt idx="0">
                  <c:v>Abdul Abbas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New'!$B$14</c:f>
              <c:numCache>
                <c:formatCode>[$PKR]\ #,##0.00_);\([$PKR]\ #,##0.00\)</c:formatCode>
                <c:ptCount val="1"/>
                <c:pt idx="0">
                  <c:v>-2223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3A-4743-AC6B-59281DCF2700}"/>
            </c:ext>
          </c:extLst>
        </c:ser>
        <c:ser>
          <c:idx val="3"/>
          <c:order val="3"/>
          <c:tx>
            <c:strRef>
              <c:f>'MS New'!$A$15</c:f>
              <c:strCache>
                <c:ptCount val="1"/>
                <c:pt idx="0">
                  <c:v>Principal Br1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New'!$B$15</c:f>
              <c:numCache>
                <c:formatCode>[$PKR]\ #,##0.00_);\([$PKR]\ #,##0.00\)</c:formatCode>
                <c:ptCount val="1"/>
                <c:pt idx="0">
                  <c:v>7450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3A-4743-AC6B-59281DCF2700}"/>
            </c:ext>
          </c:extLst>
        </c:ser>
        <c:ser>
          <c:idx val="4"/>
          <c:order val="4"/>
          <c:tx>
            <c:strRef>
              <c:f>'MS New'!$A$16</c:f>
              <c:strCache>
                <c:ptCount val="1"/>
                <c:pt idx="0">
                  <c:v>Fund Br1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</a:schemeClr>
                </a:gs>
                <a:gs pos="75000">
                  <a:schemeClr val="accent4">
                    <a:lumMod val="60000"/>
                    <a:lumMod val="60000"/>
                    <a:lumOff val="40000"/>
                  </a:schemeClr>
                </a:gs>
                <a:gs pos="51000">
                  <a:schemeClr val="accent4">
                    <a:lumMod val="60000"/>
                    <a:alpha val="75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New'!$B$16</c:f>
              <c:numCache>
                <c:formatCode>[$PKR]\ #,##0.00_);\([$PKR]\ #,##0.00\)</c:formatCode>
                <c:ptCount val="1"/>
                <c:pt idx="0">
                  <c:v>7220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3A-4743-AC6B-59281DCF2700}"/>
            </c:ext>
          </c:extLst>
        </c:ser>
        <c:ser>
          <c:idx val="5"/>
          <c:order val="5"/>
          <c:tx>
            <c:strRef>
              <c:f>'MS New'!$A$17</c:f>
              <c:strCache>
                <c:ptCount val="1"/>
                <c:pt idx="0">
                  <c:v>Principal Br2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0000"/>
                  </a:schemeClr>
                </a:gs>
                <a:gs pos="75000">
                  <a:schemeClr val="accent6">
                    <a:lumMod val="60000"/>
                    <a:lumMod val="60000"/>
                    <a:lumOff val="40000"/>
                  </a:schemeClr>
                </a:gs>
                <a:gs pos="51000">
                  <a:schemeClr val="accent6">
                    <a:lumMod val="60000"/>
                    <a:alpha val="75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New'!$B$17</c:f>
              <c:numCache>
                <c:formatCode>[$PKR]\ #,##0.00_);\([$PKR]\ #,##0.00\)</c:formatCode>
                <c:ptCount val="1"/>
                <c:pt idx="0">
                  <c:v>22220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3A-4743-AC6B-59281DCF2700}"/>
            </c:ext>
          </c:extLst>
        </c:ser>
        <c:ser>
          <c:idx val="6"/>
          <c:order val="6"/>
          <c:tx>
            <c:strRef>
              <c:f>'MS New'!$A$18</c:f>
              <c:strCache>
                <c:ptCount val="1"/>
                <c:pt idx="0">
                  <c:v>Fund Br2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80000"/>
                    <a:lumOff val="20000"/>
                  </a:schemeClr>
                </a:gs>
                <a:gs pos="75000">
                  <a:schemeClr val="accent2">
                    <a:lumMod val="80000"/>
                    <a:lumOff val="20000"/>
                    <a:lumMod val="60000"/>
                    <a:lumOff val="40000"/>
                  </a:schemeClr>
                </a:gs>
                <a:gs pos="51000">
                  <a:schemeClr val="accent2">
                    <a:lumMod val="80000"/>
                    <a:lumOff val="20000"/>
                    <a:alpha val="75000"/>
                  </a:schemeClr>
                </a:gs>
                <a:gs pos="100000">
                  <a:schemeClr val="accent2">
                    <a:lumMod val="80000"/>
                    <a:lumOff val="2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New'!$B$18</c:f>
              <c:numCache>
                <c:formatCode>[$PKR]\ #,##0.00_);\([$PKR]\ #,##0.00\)</c:formatCode>
                <c:ptCount val="1"/>
                <c:pt idx="0">
                  <c:v>11210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3A-4743-AC6B-59281DCF270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axId val="-1882391840"/>
        <c:axId val="-1882397824"/>
      </c:barChart>
      <c:catAx>
        <c:axId val="-1882391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882397824"/>
        <c:crosses val="autoZero"/>
        <c:auto val="1"/>
        <c:lblAlgn val="ctr"/>
        <c:lblOffset val="100"/>
        <c:noMultiLvlLbl val="0"/>
      </c:catAx>
      <c:valAx>
        <c:axId val="-188239782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PKR]\ #,##0.00_);\([$PKR]\ #,##0.00\)" sourceLinked="1"/>
        <c:majorTickMark val="none"/>
        <c:minorTickMark val="none"/>
        <c:tickLblPos val="nextTo"/>
        <c:crossAx val="-188239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BRANCH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959492563429571"/>
          <c:y val="0.19486111111111112"/>
          <c:w val="0.84596062992125987"/>
          <c:h val="0.592724190726159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'MS New'!$C$23</c:f>
              <c:strCache>
                <c:ptCount val="1"/>
                <c:pt idx="0">
                  <c:v>Total Fee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'MS New'!$B$24:$B$33</c:f>
              <c:strCache>
                <c:ptCount val="10"/>
                <c:pt idx="0">
                  <c:v>PG</c:v>
                </c:pt>
                <c:pt idx="1">
                  <c:v>J1</c:v>
                </c:pt>
                <c:pt idx="2">
                  <c:v>J2</c:v>
                </c:pt>
                <c:pt idx="3">
                  <c:v>Cl1A</c:v>
                </c:pt>
                <c:pt idx="4">
                  <c:v>Cl1B</c:v>
                </c:pt>
                <c:pt idx="5">
                  <c:v>Cl2</c:v>
                </c:pt>
                <c:pt idx="6">
                  <c:v>Cl3</c:v>
                </c:pt>
                <c:pt idx="7">
                  <c:v>Cl4</c:v>
                </c:pt>
                <c:pt idx="8">
                  <c:v>Cl5</c:v>
                </c:pt>
                <c:pt idx="9">
                  <c:v>Copies</c:v>
                </c:pt>
              </c:strCache>
            </c:strRef>
          </c:cat>
          <c:val>
            <c:numRef>
              <c:f>'MS New'!$C$24:$C$33</c:f>
              <c:numCache>
                <c:formatCode>#,##0</c:formatCode>
                <c:ptCount val="10"/>
                <c:pt idx="0">
                  <c:v>36150</c:v>
                </c:pt>
                <c:pt idx="1">
                  <c:v>41400</c:v>
                </c:pt>
                <c:pt idx="2">
                  <c:v>38000</c:v>
                </c:pt>
                <c:pt idx="3">
                  <c:v>34200</c:v>
                </c:pt>
                <c:pt idx="4">
                  <c:v>41050</c:v>
                </c:pt>
                <c:pt idx="5">
                  <c:v>55650</c:v>
                </c:pt>
                <c:pt idx="6">
                  <c:v>43700</c:v>
                </c:pt>
                <c:pt idx="7">
                  <c:v>36100</c:v>
                </c:pt>
                <c:pt idx="8">
                  <c:v>34650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A-40D3-AB0E-B9B747C43A78}"/>
            </c:ext>
          </c:extLst>
        </c:ser>
        <c:ser>
          <c:idx val="1"/>
          <c:order val="1"/>
          <c:tx>
            <c:strRef>
              <c:f>'MS New'!$D$23</c:f>
              <c:strCache>
                <c:ptCount val="1"/>
                <c:pt idx="0">
                  <c:v>Received Fee</c:v>
                </c:pt>
              </c:strCache>
            </c:strRef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'MS New'!$B$24:$B$33</c:f>
              <c:strCache>
                <c:ptCount val="10"/>
                <c:pt idx="0">
                  <c:v>PG</c:v>
                </c:pt>
                <c:pt idx="1">
                  <c:v>J1</c:v>
                </c:pt>
                <c:pt idx="2">
                  <c:v>J2</c:v>
                </c:pt>
                <c:pt idx="3">
                  <c:v>Cl1A</c:v>
                </c:pt>
                <c:pt idx="4">
                  <c:v>Cl1B</c:v>
                </c:pt>
                <c:pt idx="5">
                  <c:v>Cl2</c:v>
                </c:pt>
                <c:pt idx="6">
                  <c:v>Cl3</c:v>
                </c:pt>
                <c:pt idx="7">
                  <c:v>Cl4</c:v>
                </c:pt>
                <c:pt idx="8">
                  <c:v>Cl5</c:v>
                </c:pt>
                <c:pt idx="9">
                  <c:v>Copies</c:v>
                </c:pt>
              </c:strCache>
            </c:strRef>
          </c:cat>
          <c:val>
            <c:numRef>
              <c:f>'MS New'!$D$24:$D$33</c:f>
              <c:numCache>
                <c:formatCode>#,##0</c:formatCode>
                <c:ptCount val="10"/>
                <c:pt idx="0">
                  <c:v>34400</c:v>
                </c:pt>
                <c:pt idx="1">
                  <c:v>41400</c:v>
                </c:pt>
                <c:pt idx="2">
                  <c:v>38000</c:v>
                </c:pt>
                <c:pt idx="3">
                  <c:v>34200</c:v>
                </c:pt>
                <c:pt idx="4">
                  <c:v>41050</c:v>
                </c:pt>
                <c:pt idx="5">
                  <c:v>55650</c:v>
                </c:pt>
                <c:pt idx="6">
                  <c:v>43700</c:v>
                </c:pt>
                <c:pt idx="7">
                  <c:v>36100</c:v>
                </c:pt>
                <c:pt idx="8">
                  <c:v>34650</c:v>
                </c:pt>
                <c:pt idx="9">
                  <c:v>13740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A-40D3-AB0E-B9B747C43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-1882400544"/>
        <c:axId val="-1882396736"/>
        <c:axId val="0"/>
      </c:bar3DChart>
      <c:catAx>
        <c:axId val="-188240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396736"/>
        <c:crosses val="autoZero"/>
        <c:auto val="1"/>
        <c:lblAlgn val="ctr"/>
        <c:lblOffset val="100"/>
        <c:noMultiLvlLbl val="0"/>
      </c:catAx>
      <c:valAx>
        <c:axId val="-188239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400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Branch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 Fee</c:v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'MS New'!$B$36:$B$44</c:f>
              <c:strCache>
                <c:ptCount val="9"/>
                <c:pt idx="0">
                  <c:v>PG</c:v>
                </c:pt>
                <c:pt idx="1">
                  <c:v>J1</c:v>
                </c:pt>
                <c:pt idx="2">
                  <c:v>J2</c:v>
                </c:pt>
                <c:pt idx="3">
                  <c:v>Cl1A</c:v>
                </c:pt>
                <c:pt idx="4">
                  <c:v>Cl2</c:v>
                </c:pt>
                <c:pt idx="5">
                  <c:v>Cl3</c:v>
                </c:pt>
                <c:pt idx="6">
                  <c:v>Cl4</c:v>
                </c:pt>
                <c:pt idx="7">
                  <c:v>Cl5</c:v>
                </c:pt>
                <c:pt idx="8">
                  <c:v>Copies</c:v>
                </c:pt>
              </c:strCache>
            </c:strRef>
          </c:cat>
          <c:val>
            <c:numRef>
              <c:f>'MS New'!$C$36:$C$44</c:f>
              <c:numCache>
                <c:formatCode>#,##0</c:formatCode>
                <c:ptCount val="9"/>
                <c:pt idx="0">
                  <c:v>45850</c:v>
                </c:pt>
                <c:pt idx="1">
                  <c:v>38000</c:v>
                </c:pt>
                <c:pt idx="2">
                  <c:v>31550</c:v>
                </c:pt>
                <c:pt idx="3">
                  <c:v>26350</c:v>
                </c:pt>
                <c:pt idx="4">
                  <c:v>26400</c:v>
                </c:pt>
                <c:pt idx="5">
                  <c:v>16650</c:v>
                </c:pt>
                <c:pt idx="6">
                  <c:v>18550</c:v>
                </c:pt>
                <c:pt idx="7">
                  <c:v>20500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B-481C-BE82-2EB3B8468F12}"/>
            </c:ext>
          </c:extLst>
        </c:ser>
        <c:ser>
          <c:idx val="1"/>
          <c:order val="1"/>
          <c:tx>
            <c:v>Received Fee</c:v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'MS New'!$B$36:$B$44</c:f>
              <c:strCache>
                <c:ptCount val="9"/>
                <c:pt idx="0">
                  <c:v>PG</c:v>
                </c:pt>
                <c:pt idx="1">
                  <c:v>J1</c:v>
                </c:pt>
                <c:pt idx="2">
                  <c:v>J2</c:v>
                </c:pt>
                <c:pt idx="3">
                  <c:v>Cl1A</c:v>
                </c:pt>
                <c:pt idx="4">
                  <c:v>Cl2</c:v>
                </c:pt>
                <c:pt idx="5">
                  <c:v>Cl3</c:v>
                </c:pt>
                <c:pt idx="6">
                  <c:v>Cl4</c:v>
                </c:pt>
                <c:pt idx="7">
                  <c:v>Cl5</c:v>
                </c:pt>
                <c:pt idx="8">
                  <c:v>Copies</c:v>
                </c:pt>
              </c:strCache>
            </c:strRef>
          </c:cat>
          <c:val>
            <c:numRef>
              <c:f>'MS New'!$D$36:$D$44</c:f>
              <c:numCache>
                <c:formatCode>#,##0</c:formatCode>
                <c:ptCount val="9"/>
                <c:pt idx="0">
                  <c:v>45850</c:v>
                </c:pt>
                <c:pt idx="1">
                  <c:v>37000</c:v>
                </c:pt>
                <c:pt idx="2">
                  <c:v>31550</c:v>
                </c:pt>
                <c:pt idx="3">
                  <c:v>26350</c:v>
                </c:pt>
                <c:pt idx="4">
                  <c:v>26400</c:v>
                </c:pt>
                <c:pt idx="5">
                  <c:v>18650</c:v>
                </c:pt>
                <c:pt idx="6">
                  <c:v>18550</c:v>
                </c:pt>
                <c:pt idx="7">
                  <c:v>20500</c:v>
                </c:pt>
                <c:pt idx="8">
                  <c:v>6770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9B-481C-BE82-2EB3B8468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-1882396192"/>
        <c:axId val="-1882401088"/>
        <c:axId val="0"/>
      </c:bar3DChart>
      <c:catAx>
        <c:axId val="-188239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401088"/>
        <c:crosses val="autoZero"/>
        <c:auto val="1"/>
        <c:lblAlgn val="ctr"/>
        <c:lblOffset val="100"/>
        <c:noMultiLvlLbl val="0"/>
      </c:catAx>
      <c:valAx>
        <c:axId val="-188240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396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0"/>
          <c:order val="10"/>
          <c:tx>
            <c:strRef>
              <c:f>'MS New'!$A$34:$B$34</c:f>
              <c:strCache>
                <c:ptCount val="2"/>
                <c:pt idx="0">
                  <c:v>Branch 1</c:v>
                </c:pt>
                <c:pt idx="1">
                  <c:v>Total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3E-4205-86A1-655A61454A9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3E-4205-86A1-655A61454A95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sx="16000" sy="16000" algn="ctr" rotWithShape="0">
                  <a:srgbClr val="000000">
                    <a:alpha val="43137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'MS New'!$C$23:$E$23</c:f>
              <c:strCache>
                <c:ptCount val="3"/>
                <c:pt idx="0">
                  <c:v>Total Fee</c:v>
                </c:pt>
                <c:pt idx="1">
                  <c:v>Received Fee</c:v>
                </c:pt>
                <c:pt idx="2">
                  <c:v>Balance Fee</c:v>
                </c:pt>
              </c:strCache>
            </c:strRef>
          </c:cat>
          <c:val>
            <c:numRef>
              <c:f>'MS New'!$C$34:$E$34</c:f>
              <c:numCache>
                <c:formatCode>#,##0</c:formatCode>
                <c:ptCount val="3"/>
                <c:pt idx="0">
                  <c:v>360900</c:v>
                </c:pt>
                <c:pt idx="1">
                  <c:v>372890</c:v>
                </c:pt>
                <c:pt idx="2">
                  <c:v>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3E-4205-86A1-655A61454A95}"/>
            </c:ext>
          </c:extLst>
        </c:ser>
        <c:ser>
          <c:idx val="19"/>
          <c:order val="19"/>
          <c:tx>
            <c:strRef>
              <c:f>'MS New'!$A$45:$B$45</c:f>
              <c:strCache>
                <c:ptCount val="2"/>
                <c:pt idx="0">
                  <c:v>Branch 2</c:v>
                </c:pt>
                <c:pt idx="1">
                  <c:v>Total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3E-4205-86A1-655A61454A9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3E-4205-86A1-655A61454A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'MS New'!$C$23:$E$23</c:f>
              <c:strCache>
                <c:ptCount val="3"/>
                <c:pt idx="0">
                  <c:v>Total Fee</c:v>
                </c:pt>
                <c:pt idx="1">
                  <c:v>Received Fee</c:v>
                </c:pt>
                <c:pt idx="2">
                  <c:v>Balance Fee</c:v>
                </c:pt>
              </c:strCache>
            </c:strRef>
          </c:cat>
          <c:val>
            <c:numRef>
              <c:f>'MS New'!$C$45:$E$45</c:f>
              <c:numCache>
                <c:formatCode>#,##0</c:formatCode>
                <c:ptCount val="3"/>
                <c:pt idx="0">
                  <c:v>223850</c:v>
                </c:pt>
                <c:pt idx="1">
                  <c:v>231620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3E-4205-86A1-655A61454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882395648"/>
        <c:axId val="-18823907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'MS New'!$A$24:$B$24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PG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'MS New'!$C$24:$E$24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36150</c:v>
                      </c:pt>
                      <c:pt idx="1">
                        <c:v>34400</c:v>
                      </c:pt>
                      <c:pt idx="2">
                        <c:v>1750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B3E-4205-86A1-655A61454A9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New'!$A$25:$B$25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J1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New'!$C$25:$E$25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41400</c:v>
                      </c:pt>
                      <c:pt idx="1">
                        <c:v>41400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E-4205-86A1-655A61454A9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New'!$A$26:$B$26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J2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New'!$C$26:$E$26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38000</c:v>
                      </c:pt>
                      <c:pt idx="1">
                        <c:v>38000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E-4205-86A1-655A61454A9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New'!$A$27:$B$27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Cl1A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New'!$C$27:$E$27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34200</c:v>
                      </c:pt>
                      <c:pt idx="1">
                        <c:v>34200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E-4205-86A1-655A61454A9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New'!$A$28:$B$28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Cl1B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New'!$C$28:$E$28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41050</c:v>
                      </c:pt>
                      <c:pt idx="1">
                        <c:v>41050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E-4205-86A1-655A61454A9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New'!$A$29:$B$29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Cl2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New'!$C$29:$E$29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55650</c:v>
                      </c:pt>
                      <c:pt idx="1">
                        <c:v>55650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B3E-4205-86A1-655A61454A9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B3E-4205-86A1-655A61454A9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New'!$A$30:$B$30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Cl3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New'!$C$30:$E$30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43700</c:v>
                      </c:pt>
                      <c:pt idx="1">
                        <c:v>43700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B3E-4205-86A1-655A61454A9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New'!$A$31:$B$31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Cl4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New'!$C$31:$E$31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36100</c:v>
                      </c:pt>
                      <c:pt idx="1">
                        <c:v>36100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B3E-4205-86A1-655A61454A95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New'!$A$32:$B$32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Cl5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New'!$C$32:$E$32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34650</c:v>
                      </c:pt>
                      <c:pt idx="1">
                        <c:v>34650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B3E-4205-86A1-655A61454A9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New'!$A$36:$B$36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PG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New'!$C$36:$E$36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45850</c:v>
                      </c:pt>
                      <c:pt idx="1">
                        <c:v>45850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B3E-4205-86A1-655A61454A9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New'!$A$37:$B$37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J1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New'!$C$37:$E$37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38000</c:v>
                      </c:pt>
                      <c:pt idx="1">
                        <c:v>37000</c:v>
                      </c:pt>
                      <c:pt idx="2">
                        <c:v>1000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B3E-4205-86A1-655A61454A95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New'!$A$38:$B$38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J2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New'!$C$38:$E$38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31550</c:v>
                      </c:pt>
                      <c:pt idx="1">
                        <c:v>31550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B3E-4205-86A1-655A61454A95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New'!$A$39:$B$39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Cl1A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New'!$C$39:$E$39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26350</c:v>
                      </c:pt>
                      <c:pt idx="1">
                        <c:v>26350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B3E-4205-86A1-655A61454A95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New'!$A$40:$B$40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Cl2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New'!$C$40:$E$40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26400</c:v>
                      </c:pt>
                      <c:pt idx="1">
                        <c:v>26400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B3E-4205-86A1-655A61454A95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New'!$A$41:$B$41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Cl3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New'!$C$41:$E$41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16650</c:v>
                      </c:pt>
                      <c:pt idx="1">
                        <c:v>18650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FB3E-4205-86A1-655A61454A95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New'!$A$42:$B$42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Cl4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New'!$C$42:$E$42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18550</c:v>
                      </c:pt>
                      <c:pt idx="1">
                        <c:v>18550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FB3E-4205-86A1-655A61454A95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New'!$A$43:$B$43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Cl5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New'!$C$43:$E$43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20500</c:v>
                      </c:pt>
                      <c:pt idx="1">
                        <c:v>20500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FB3E-4205-86A1-655A61454A95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New'!$A$46:$B$46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G. Total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New'!$C$46:$E$46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584750</c:v>
                      </c:pt>
                      <c:pt idx="1">
                        <c:v>604510</c:v>
                      </c:pt>
                      <c:pt idx="2">
                        <c:v>2750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FB3E-4205-86A1-655A61454A95}"/>
                  </c:ext>
                </c:extLst>
              </c15:ser>
            </c15:filteredBarSeries>
          </c:ext>
        </c:extLst>
      </c:barChart>
      <c:catAx>
        <c:axId val="-188239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390752"/>
        <c:crosses val="autoZero"/>
        <c:auto val="1"/>
        <c:lblAlgn val="ctr"/>
        <c:lblOffset val="100"/>
        <c:noMultiLvlLbl val="0"/>
      </c:catAx>
      <c:valAx>
        <c:axId val="-18823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395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Ledger - Jan 26.xlsx]pivot expense!PivotTable2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for NOV2025</a:t>
            </a:r>
          </a:p>
        </c:rich>
      </c:tx>
      <c:layout>
        <c:manualLayout>
          <c:xMode val="edge"/>
          <c:yMode val="edge"/>
          <c:x val="0.38109963859896367"/>
          <c:y val="3.8811712805181177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dLbl>
          <c:idx val="0"/>
          <c:layout>
            <c:manualLayout>
              <c:x val="-0.49797940454979572"/>
              <c:y val="0.18193916622165754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"/>
        <c:dLbl>
          <c:idx val="0"/>
          <c:layout>
            <c:manualLayout>
              <c:x val="5.1888137117008862E-2"/>
              <c:y val="-1.359315609702039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24777948786863796"/>
                  <c:h val="3.4877189827807395E-2"/>
                </c:manualLayout>
              </c15:layout>
            </c:ext>
          </c:extLst>
        </c:dLbl>
      </c:pivotFmt>
      <c:pivotFmt>
        <c:idx val="3"/>
        <c:dLbl>
          <c:idx val="0"/>
          <c:layout>
            <c:manualLayout>
              <c:x val="3.6237907969260866E-2"/>
              <c:y val="7.3193917445494402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"/>
        <c:dLbl>
          <c:idx val="0"/>
          <c:layout>
            <c:manualLayout>
              <c:x val="1.9528604099991989E-3"/>
              <c:y val="-5.2281369603924599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dLbl>
          <c:idx val="0"/>
          <c:layout>
            <c:manualLayout>
              <c:x val="-0.51360228782978934"/>
              <c:y val="8.3650191366279325E-3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6"/>
        <c:dLbl>
          <c:idx val="0"/>
          <c:layout>
            <c:manualLayout>
              <c:x val="-0.39776455828039153"/>
              <c:y val="-2.7186312194040781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7"/>
        <c:dLbl>
          <c:idx val="0"/>
          <c:layout>
            <c:manualLayout>
              <c:x val="0"/>
              <c:y val="0.2927756697819775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8"/>
        <c:dLbl>
          <c:idx val="0"/>
          <c:layout>
            <c:manualLayout>
              <c:x val="5.7877533200067811E-2"/>
              <c:y val="0.12129277748110487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9"/>
        <c:dLbl>
          <c:idx val="0"/>
          <c:layout>
            <c:manualLayout>
              <c:x val="6.6783435003044483E-2"/>
              <c:y val="2.5095057409883798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21584658161356349"/>
                  <c:h val="3.2785935043650419E-2"/>
                </c:manualLayout>
              </c15:layout>
            </c:ext>
          </c:extLst>
        </c:dLbl>
      </c:pivotFmt>
      <c:pivotFmt>
        <c:idx val="10"/>
        <c:dLbl>
          <c:idx val="0"/>
          <c:layout>
            <c:manualLayout>
              <c:x val="0.109028011964438"/>
              <c:y val="-2.7186312194040781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1"/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2"/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3"/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4"/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5"/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ED7D31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9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3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4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40865290576961794"/>
              <c:y val="-4.1825095683139669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8329765043444915"/>
                  <c:h val="5.7880992453534209E-2"/>
                </c:manualLayout>
              </c15:layout>
            </c:ext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1653891496619502"/>
              <c:y val="0.15684410881177377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1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</c:pivotFmt>
      <c:pivotFmt>
        <c:idx val="33"/>
        <c:dLbl>
          <c:idx val="0"/>
          <c:layout>
            <c:manualLayout>
              <c:x val="3.2201546181327666E-2"/>
              <c:y val="-0.10038022963953519"/>
            </c:manualLayout>
          </c:layout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8.3570669284968785E-2"/>
              <c:y val="-3.3460076546511744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25736192215316389"/>
                  <c:h val="4.5333463748592311E-2"/>
                </c:manualLayout>
              </c15:layout>
            </c:ext>
          </c:extLst>
        </c:dLbl>
      </c:pivotFmt>
      <c:pivotFmt>
        <c:idx val="35"/>
      </c:pivotFmt>
      <c:pivotFmt>
        <c:idx val="36"/>
        <c:dLbl>
          <c:idx val="0"/>
          <c:layout>
            <c:manualLayout>
              <c:x val="0.20547650796671216"/>
              <c:y val="2.0912547841569793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2583338847158223"/>
                  <c:h val="5.7880992453534209E-2"/>
                </c:manualLayout>
              </c15:layout>
            </c:ext>
          </c:extLst>
        </c:dLbl>
      </c:pivotFmt>
      <c:pivotFmt>
        <c:idx val="37"/>
      </c:pivotFmt>
      <c:pivotFmt>
        <c:idx val="38"/>
        <c:dLbl>
          <c:idx val="0"/>
          <c:layout>
            <c:manualLayout>
              <c:x val="-0.27141299932916474"/>
              <c:y val="0.20912547841569826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9"/>
        <c:dLbl>
          <c:idx val="0"/>
          <c:layout>
            <c:manualLayout>
              <c:x val="-0.28828047386374556"/>
              <c:y val="4.6007605251453608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0"/>
        <c:dLbl>
          <c:idx val="0"/>
          <c:layout>
            <c:manualLayout>
              <c:x val="0.15487408436296971"/>
              <c:y val="8.3650191366279325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1"/>
        <c:dLbl>
          <c:idx val="0"/>
          <c:layout>
            <c:manualLayout>
              <c:x val="-0.3112815755018104"/>
              <c:y val="0.1212927774811050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2"/>
        <c:dLbl>
          <c:idx val="0"/>
          <c:layout>
            <c:manualLayout>
              <c:x val="-0.26221255867393878"/>
              <c:y val="-2.5095057409883808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3"/>
        <c:dLbl>
          <c:idx val="0"/>
          <c:layout>
            <c:manualLayout>
              <c:x val="-0.15027386403535672"/>
              <c:y val="-9.6197720071221224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4"/>
        <c:dLbl>
          <c:idx val="0"/>
          <c:layout>
            <c:manualLayout>
              <c:x val="-0.11500550819032405"/>
              <c:y val="0.14847908967514581"/>
            </c:manualLayout>
          </c:layout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layout>
            <c:manualLayout>
              <c:x val="0.33121586358813321"/>
              <c:y val="-9.4106465287064234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6"/>
      </c:pivotFmt>
    </c:pivotFmts>
    <c:plotArea>
      <c:layout/>
      <c:pieChart>
        <c:varyColors val="1"/>
        <c:ser>
          <c:idx val="0"/>
          <c:order val="0"/>
          <c:tx>
            <c:strRef>
              <c:f>'pivot expense'!$B$3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1D2-4D71-BFF1-F9BBA9624DF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D2-4D71-BFF1-F9BBA9624DF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71D2-4D71-BFF1-F9BBA9624DF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71D2-4D71-BFF1-F9BBA9624DFF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1D2-4D71-BFF1-F9BBA9624DF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71D2-4D71-BFF1-F9BBA9624DF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71D2-4D71-BFF1-F9BBA9624DF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71D2-4D71-BFF1-F9BBA9624DF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71D2-4D71-BFF1-F9BBA9624DF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71D2-4D71-BFF1-F9BBA9624DF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71D2-4D71-BFF1-F9BBA9624DF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71D2-4D71-BFF1-F9BBA9624DF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71D2-4D71-BFF1-F9BBA9624DF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71D2-4D71-BFF1-F9BBA9624DF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71D2-4D71-BFF1-F9BBA9624DFF}"/>
              </c:ext>
            </c:extLst>
          </c:dPt>
          <c:dLbls>
            <c:dLbl>
              <c:idx val="0"/>
              <c:layout>
                <c:manualLayout>
                  <c:x val="8.3570669284968785E-2"/>
                  <c:y val="-3.3460076546511744E-2"/>
                </c:manualLayout>
              </c:layout>
              <c:spPr>
                <a:solidFill>
                  <a:srgbClr val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>
                    <c:manualLayout>
                      <c:w val="0.25736192215316389"/>
                      <c:h val="4.53334637485923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1D2-4D71-BFF1-F9BBA9624DFF}"/>
                </c:ext>
              </c:extLst>
            </c:dLbl>
            <c:dLbl>
              <c:idx val="1"/>
              <c:layout>
                <c:manualLayout>
                  <c:x val="0.40865290576961794"/>
                  <c:y val="-4.18250956831396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29765043444915"/>
                      <c:h val="5.78809924535342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1D2-4D71-BFF1-F9BBA9624DFF}"/>
                </c:ext>
              </c:extLst>
            </c:dLbl>
            <c:dLbl>
              <c:idx val="2"/>
              <c:layout>
                <c:manualLayout>
                  <c:x val="0.15487408436296971"/>
                  <c:y val="8.365019136627932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D2-4D71-BFF1-F9BBA9624DFF}"/>
                </c:ext>
              </c:extLst>
            </c:dLbl>
            <c:dLbl>
              <c:idx val="3"/>
              <c:layout>
                <c:manualLayout>
                  <c:x val="0.20547650796671216"/>
                  <c:y val="2.091254784156979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83338847158223"/>
                      <c:h val="5.78809924535342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1D2-4D71-BFF1-F9BBA9624DFF}"/>
                </c:ext>
              </c:extLst>
            </c:dLbl>
            <c:dLbl>
              <c:idx val="4"/>
              <c:layout>
                <c:manualLayout>
                  <c:x val="0.11653891496619502"/>
                  <c:y val="0.1568441088117737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D2-4D71-BFF1-F9BBA9624DFF}"/>
                </c:ext>
              </c:extLst>
            </c:dLbl>
            <c:dLbl>
              <c:idx val="9"/>
              <c:layout>
                <c:manualLayout>
                  <c:x val="-0.27141299932916474"/>
                  <c:y val="0.2091254784156982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D2-4D71-BFF1-F9BBA9624DFF}"/>
                </c:ext>
              </c:extLst>
            </c:dLbl>
            <c:dLbl>
              <c:idx val="10"/>
              <c:layout>
                <c:manualLayout>
                  <c:x val="-0.28828047386374556"/>
                  <c:y val="4.600760525145360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D2-4D71-BFF1-F9BBA9624DFF}"/>
                </c:ext>
              </c:extLst>
            </c:dLbl>
            <c:dLbl>
              <c:idx val="11"/>
              <c:layout>
                <c:manualLayout>
                  <c:x val="-0.3112815755018104"/>
                  <c:y val="0.1212927774811050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D2-4D71-BFF1-F9BBA9624DFF}"/>
                </c:ext>
              </c:extLst>
            </c:dLbl>
            <c:dLbl>
              <c:idx val="12"/>
              <c:layout>
                <c:manualLayout>
                  <c:x val="0.33121586358813321"/>
                  <c:y val="-9.410646528706423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1D2-4D71-BFF1-F9BBA9624DFF}"/>
                </c:ext>
              </c:extLst>
            </c:dLbl>
            <c:dLbl>
              <c:idx val="13"/>
              <c:layout>
                <c:manualLayout>
                  <c:x val="-0.26221255867393878"/>
                  <c:y val="-2.509505740988380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1D2-4D71-BFF1-F9BBA9624DFF}"/>
                </c:ext>
              </c:extLst>
            </c:dLbl>
            <c:dLbl>
              <c:idx val="14"/>
              <c:layout>
                <c:manualLayout>
                  <c:x val="-0.15027386403535672"/>
                  <c:y val="-9.619772007122122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1D2-4D71-BFF1-F9BBA9624DFF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multiLvlStrRef>
              <c:f>'pivot expense'!$A$4:$A$39</c:f>
              <c:multiLvlStrCache>
                <c:ptCount val="15"/>
                <c:lvl>
                  <c:pt idx="0">
                    <c:v>Branch 1</c:v>
                  </c:pt>
                  <c:pt idx="1">
                    <c:v>Branch 2</c:v>
                  </c:pt>
                  <c:pt idx="2">
                    <c:v>Branch 2</c:v>
                  </c:pt>
                  <c:pt idx="3">
                    <c:v>Branch 1</c:v>
                  </c:pt>
                  <c:pt idx="4">
                    <c:v>Branch 2</c:v>
                  </c:pt>
                  <c:pt idx="5">
                    <c:v>Branch 1</c:v>
                  </c:pt>
                  <c:pt idx="6">
                    <c:v>Branch 2</c:v>
                  </c:pt>
                  <c:pt idx="7">
                    <c:v>(blank)</c:v>
                  </c:pt>
                  <c:pt idx="8">
                    <c:v>(blank)</c:v>
                  </c:pt>
                  <c:pt idx="9">
                    <c:v>Branch 1</c:v>
                  </c:pt>
                  <c:pt idx="10">
                    <c:v>Branch 1</c:v>
                  </c:pt>
                  <c:pt idx="11">
                    <c:v>Branch 2</c:v>
                  </c:pt>
                  <c:pt idx="12">
                    <c:v>Branch 1</c:v>
                  </c:pt>
                  <c:pt idx="13">
                    <c:v>Branch 2</c:v>
                  </c:pt>
                  <c:pt idx="14">
                    <c:v>Branch 2</c:v>
                  </c:pt>
                </c:lvl>
                <c:lvl>
                  <c:pt idx="0">
                    <c:v>Adm</c:v>
                  </c:pt>
                  <c:pt idx="2">
                    <c:v>Paper</c:v>
                  </c:pt>
                  <c:pt idx="3">
                    <c:v>Rent</c:v>
                  </c:pt>
                  <c:pt idx="5">
                    <c:v>Salaries</c:v>
                  </c:pt>
                  <c:pt idx="7">
                    <c:v>(blank)</c:v>
                  </c:pt>
                  <c:pt idx="8">
                    <c:v>Distributed</c:v>
                  </c:pt>
                  <c:pt idx="9">
                    <c:v>Motor</c:v>
                  </c:pt>
                  <c:pt idx="10">
                    <c:v>Repair</c:v>
                  </c:pt>
                  <c:pt idx="12">
                    <c:v>Elec</c:v>
                  </c:pt>
                  <c:pt idx="14">
                    <c:v>Net</c:v>
                  </c:pt>
                </c:lvl>
              </c:multiLvlStrCache>
            </c:multiLvlStrRef>
          </c:cat>
          <c:val>
            <c:numRef>
              <c:f>'pivot expense'!$B$4:$B$39</c:f>
              <c:numCache>
                <c:formatCode>_([$PKR]\ * #,##0.00_);_([$PKR]\ * \(#,##0.00\);_([$PKR]\ * "-"??_);_(@_)</c:formatCode>
                <c:ptCount val="15"/>
                <c:pt idx="0">
                  <c:v>6670</c:v>
                </c:pt>
                <c:pt idx="1">
                  <c:v>13180</c:v>
                </c:pt>
                <c:pt idx="2">
                  <c:v>4500</c:v>
                </c:pt>
                <c:pt idx="3">
                  <c:v>15600</c:v>
                </c:pt>
                <c:pt idx="4">
                  <c:v>17000</c:v>
                </c:pt>
                <c:pt idx="5">
                  <c:v>115800</c:v>
                </c:pt>
                <c:pt idx="6">
                  <c:v>98300</c:v>
                </c:pt>
                <c:pt idx="8">
                  <c:v>274050</c:v>
                </c:pt>
                <c:pt idx="9">
                  <c:v>2900</c:v>
                </c:pt>
                <c:pt idx="10">
                  <c:v>1350</c:v>
                </c:pt>
                <c:pt idx="11">
                  <c:v>4200</c:v>
                </c:pt>
                <c:pt idx="12">
                  <c:v>1647</c:v>
                </c:pt>
                <c:pt idx="13">
                  <c:v>432</c:v>
                </c:pt>
                <c:pt idx="1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1D2-4D71-BFF1-F9BBA9624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0</xdr:row>
      <xdr:rowOff>30480</xdr:rowOff>
    </xdr:from>
    <xdr:to>
      <xdr:col>19</xdr:col>
      <xdr:colOff>38100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18</xdr:row>
      <xdr:rowOff>114300</xdr:rowOff>
    </xdr:from>
    <xdr:to>
      <xdr:col>16</xdr:col>
      <xdr:colOff>236220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</xdr:colOff>
      <xdr:row>35</xdr:row>
      <xdr:rowOff>99060</xdr:rowOff>
    </xdr:from>
    <xdr:to>
      <xdr:col>16</xdr:col>
      <xdr:colOff>289560</xdr:colOff>
      <xdr:row>53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48</xdr:row>
      <xdr:rowOff>7620</xdr:rowOff>
    </xdr:from>
    <xdr:to>
      <xdr:col>5</xdr:col>
      <xdr:colOff>411480</xdr:colOff>
      <xdr:row>63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358140</xdr:colOff>
          <xdr:row>394</xdr:row>
          <xdr:rowOff>91440</xdr:rowOff>
        </xdr:from>
        <xdr:to>
          <xdr:col>10</xdr:col>
          <xdr:colOff>411480</xdr:colOff>
          <xdr:row>398</xdr:row>
          <xdr:rowOff>76200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REVERSE PAYABLE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350520</xdr:colOff>
          <xdr:row>389</xdr:row>
          <xdr:rowOff>38100</xdr:rowOff>
        </xdr:from>
        <xdr:to>
          <xdr:col>10</xdr:col>
          <xdr:colOff>434340</xdr:colOff>
          <xdr:row>393</xdr:row>
          <xdr:rowOff>91440</xdr:rowOff>
        </xdr:to>
        <xdr:sp macro="" textlink="">
          <xdr:nvSpPr>
            <xdr:cNvPr id="3077" name="Butto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UPDATE  PAYABLE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333054</xdr:colOff>
      <xdr:row>3</xdr:row>
      <xdr:rowOff>141559</xdr:rowOff>
    </xdr:from>
    <xdr:to>
      <xdr:col>16</xdr:col>
      <xdr:colOff>147735</xdr:colOff>
      <xdr:row>36</xdr:row>
      <xdr:rowOff>56264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Shah Mir Ul Hassan" refreshedDate="46003.583612268521" createdVersion="5" refreshedVersion="8" minRefreshableVersion="3" recordCount="90" xr:uid="{00000000-000A-0000-FFFF-FFFF00000000}">
  <cacheSource type="worksheet">
    <worksheetSource ref="A1:F1048576" sheet="Expense"/>
  </cacheSource>
  <cacheFields count="6">
    <cacheField name="Date" numFmtId="0">
      <sharedItems containsNonDate="0" containsDate="1" containsString="0" containsBlank="1" minDate="2025-12-01T00:00:00" maxDate="2025-12-12T00:00:00"/>
    </cacheField>
    <cacheField name="Branch" numFmtId="0">
      <sharedItems containsBlank="1" count="3">
        <s v="Branch 2"/>
        <s v="Branch 1"/>
        <m/>
      </sharedItems>
    </cacheField>
    <cacheField name="Category" numFmtId="0">
      <sharedItems containsBlank="1" count="27">
        <s v="Adm"/>
        <s v="Repair"/>
        <s v="Paper"/>
        <s v="Motor"/>
        <s v="Elec"/>
        <s v="Rent"/>
        <s v="Salaries"/>
        <s v="Net"/>
        <s v="Distributed"/>
        <m/>
        <s v="Elec Bill" u="1"/>
        <s v="Net Package" u="1"/>
        <s v="PTCL" u="1"/>
        <s v="Copy" u="1"/>
        <s v="Fine" u="1"/>
        <s v="Paint" u="1"/>
        <s v="Adjustment" u="1"/>
        <s v="Phone Package" u="1"/>
        <s v="Phone" u="1"/>
        <s v="Motor Pump" u="1"/>
        <s v="Copies" u="1"/>
        <s v="PTCL Bill" u="1"/>
        <s v="Printer" u="1"/>
        <s v="Electric" u="1"/>
        <s v="SLC" u="1"/>
        <s v="Diary" u="1"/>
        <s v="Dist" u="1"/>
      </sharedItems>
    </cacheField>
    <cacheField name="Desription" numFmtId="0">
      <sharedItems containsBlank="1"/>
    </cacheField>
    <cacheField name="Amount" numFmtId="0">
      <sharedItems containsString="0" containsBlank="1" containsNumber="1" containsInteger="1" minValue="432" maxValue="86600"/>
    </cacheField>
    <cacheField name="From Account" numFmtId="0">
      <sharedItems containsBlank="1" count="8">
        <s v="Fund Br2"/>
        <s v="Agha Guloon"/>
        <s v="Abdul Abbas"/>
        <s v="Principal Br1"/>
        <s v="Principal Br2"/>
        <s v="Fund Br1"/>
        <s v="Shah Mir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d v="2025-12-01T00:00:00"/>
    <x v="0"/>
    <x v="0"/>
    <s v="Hard chart, Duster"/>
    <n v="1000"/>
    <x v="0"/>
  </r>
  <r>
    <d v="2025-12-01T00:00:00"/>
    <x v="0"/>
    <x v="1"/>
    <s v="Printer repair"/>
    <n v="4200"/>
    <x v="0"/>
  </r>
  <r>
    <d v="2025-12-01T00:00:00"/>
    <x v="0"/>
    <x v="0"/>
    <s v="tea sugar milk pak speaker repair mouse"/>
    <n v="4730"/>
    <x v="0"/>
  </r>
  <r>
    <d v="2025-12-01T00:00:00"/>
    <x v="0"/>
    <x v="2"/>
    <s v="Paper ream"/>
    <n v="4500"/>
    <x v="0"/>
  </r>
  <r>
    <d v="2025-12-01T00:00:00"/>
    <x v="1"/>
    <x v="3"/>
    <m/>
    <n v="2900"/>
    <x v="1"/>
  </r>
  <r>
    <d v="2025-12-04T00:00:00"/>
    <x v="1"/>
    <x v="4"/>
    <m/>
    <n v="1647"/>
    <x v="2"/>
  </r>
  <r>
    <d v="2025-12-04T00:00:00"/>
    <x v="0"/>
    <x v="4"/>
    <m/>
    <n v="432"/>
    <x v="2"/>
  </r>
  <r>
    <d v="2025-12-04T00:00:00"/>
    <x v="1"/>
    <x v="5"/>
    <m/>
    <n v="15600"/>
    <x v="2"/>
  </r>
  <r>
    <d v="2025-12-05T00:00:00"/>
    <x v="1"/>
    <x v="6"/>
    <s v="Miss Anila"/>
    <n v="14500"/>
    <x v="3"/>
  </r>
  <r>
    <d v="2025-12-05T00:00:00"/>
    <x v="1"/>
    <x v="6"/>
    <s v="Miss Hani"/>
    <n v="8000"/>
    <x v="3"/>
  </r>
  <r>
    <d v="2025-12-05T00:00:00"/>
    <x v="1"/>
    <x v="6"/>
    <s v="Miss Um e Laila"/>
    <n v="9500"/>
    <x v="3"/>
  </r>
  <r>
    <d v="2025-12-05T00:00:00"/>
    <x v="1"/>
    <x v="6"/>
    <s v="Miss Shazia"/>
    <n v="8800"/>
    <x v="3"/>
  </r>
  <r>
    <d v="2025-12-05T00:00:00"/>
    <x v="1"/>
    <x v="6"/>
    <s v="Miss Hina"/>
    <n v="9000"/>
    <x v="3"/>
  </r>
  <r>
    <d v="2025-12-05T00:00:00"/>
    <x v="1"/>
    <x v="6"/>
    <s v="Miss Nazra"/>
    <n v="8000"/>
    <x v="3"/>
  </r>
  <r>
    <d v="2025-12-05T00:00:00"/>
    <x v="1"/>
    <x v="6"/>
    <s v="Miss Areesha"/>
    <n v="9000"/>
    <x v="3"/>
  </r>
  <r>
    <d v="2025-12-05T00:00:00"/>
    <x v="1"/>
    <x v="6"/>
    <s v="Miss Noor"/>
    <n v="5000"/>
    <x v="3"/>
  </r>
  <r>
    <d v="2025-12-05T00:00:00"/>
    <x v="1"/>
    <x v="6"/>
    <s v="Miss Sukaina"/>
    <n v="7500"/>
    <x v="3"/>
  </r>
  <r>
    <d v="2025-12-05T00:00:00"/>
    <x v="1"/>
    <x v="6"/>
    <s v="Miss Safina"/>
    <n v="7000"/>
    <x v="3"/>
  </r>
  <r>
    <d v="2025-12-05T00:00:00"/>
    <x v="1"/>
    <x v="6"/>
    <s v="Asim Muneer"/>
    <n v="10000"/>
    <x v="3"/>
  </r>
  <r>
    <d v="2025-12-05T00:00:00"/>
    <x v="1"/>
    <x v="6"/>
    <s v="Wajid Ali"/>
    <m/>
    <x v="3"/>
  </r>
  <r>
    <d v="2025-12-05T00:00:00"/>
    <x v="1"/>
    <x v="6"/>
    <s v="Sajad"/>
    <n v="6000"/>
    <x v="3"/>
  </r>
  <r>
    <d v="2025-12-05T00:00:00"/>
    <x v="1"/>
    <x v="6"/>
    <s v="Yasmeen"/>
    <m/>
    <x v="3"/>
  </r>
  <r>
    <d v="2025-12-05T00:00:00"/>
    <x v="1"/>
    <x v="1"/>
    <s v="tonner etc"/>
    <n v="1350"/>
    <x v="3"/>
  </r>
  <r>
    <d v="2025-12-05T00:00:00"/>
    <x v="0"/>
    <x v="6"/>
    <s v="Syeda Tather Fatima"/>
    <n v="16500"/>
    <x v="4"/>
  </r>
  <r>
    <d v="2025-12-05T00:00:00"/>
    <x v="0"/>
    <x v="6"/>
    <s v="Bibi Asmat Zahra"/>
    <n v="7400"/>
    <x v="4"/>
  </r>
  <r>
    <d v="2025-12-05T00:00:00"/>
    <x v="0"/>
    <x v="6"/>
    <s v="Fazila Abbas"/>
    <n v="8700"/>
    <x v="4"/>
  </r>
  <r>
    <d v="2025-12-05T00:00:00"/>
    <x v="0"/>
    <x v="6"/>
    <s v="Zahra Fatima"/>
    <n v="7200"/>
    <x v="4"/>
  </r>
  <r>
    <d v="2025-12-05T00:00:00"/>
    <x v="0"/>
    <x v="6"/>
    <s v="Hasrat"/>
    <n v="10000"/>
    <x v="4"/>
  </r>
  <r>
    <d v="2025-12-05T00:00:00"/>
    <x v="0"/>
    <x v="6"/>
    <s v="Zahida Parveen"/>
    <n v="6500"/>
    <x v="4"/>
  </r>
  <r>
    <d v="2025-12-05T00:00:00"/>
    <x v="0"/>
    <x v="6"/>
    <s v="Saqia Batool"/>
    <n v="6000"/>
    <x v="4"/>
  </r>
  <r>
    <d v="2025-12-05T00:00:00"/>
    <x v="0"/>
    <x v="6"/>
    <s v="Lubna Jaffery"/>
    <n v="7500"/>
    <x v="4"/>
  </r>
  <r>
    <d v="2025-12-05T00:00:00"/>
    <x v="0"/>
    <x v="6"/>
    <s v="Fiza"/>
    <n v="6000"/>
    <x v="4"/>
  </r>
  <r>
    <d v="2025-12-05T00:00:00"/>
    <x v="0"/>
    <x v="6"/>
    <s v="Sania "/>
    <n v="6000"/>
    <x v="4"/>
  </r>
  <r>
    <d v="2025-12-05T00:00:00"/>
    <x v="0"/>
    <x v="6"/>
    <s v="S.Shane Haider"/>
    <n v="5500"/>
    <x v="4"/>
  </r>
  <r>
    <d v="2025-12-05T00:00:00"/>
    <x v="0"/>
    <x v="6"/>
    <s v="Mujtaba Hassan"/>
    <n v="5000"/>
    <x v="4"/>
  </r>
  <r>
    <d v="2025-12-05T00:00:00"/>
    <x v="0"/>
    <x v="6"/>
    <s v="Hira Begum"/>
    <n v="6000"/>
    <x v="4"/>
  </r>
  <r>
    <d v="2025-12-05T00:00:00"/>
    <x v="0"/>
    <x v="7"/>
    <m/>
    <n v="2000"/>
    <x v="4"/>
  </r>
  <r>
    <d v="2025-12-05T00:00:00"/>
    <x v="0"/>
    <x v="0"/>
    <s v="LPG"/>
    <n v="1000"/>
    <x v="0"/>
  </r>
  <r>
    <d v="2025-12-06T00:00:00"/>
    <x v="1"/>
    <x v="6"/>
    <s v="Wajid Ali"/>
    <n v="7000"/>
    <x v="3"/>
  </r>
  <r>
    <d v="2025-12-06T00:00:00"/>
    <x v="1"/>
    <x v="6"/>
    <s v="Yasmeen"/>
    <n v="6500"/>
    <x v="3"/>
  </r>
  <r>
    <d v="2025-12-06T00:00:00"/>
    <x v="1"/>
    <x v="0"/>
    <m/>
    <n v="6670"/>
    <x v="5"/>
  </r>
  <r>
    <d v="2025-12-08T00:00:00"/>
    <x v="0"/>
    <x v="5"/>
    <m/>
    <n v="17000"/>
    <x v="4"/>
  </r>
  <r>
    <d v="2025-12-11T00:00:00"/>
    <x v="0"/>
    <x v="0"/>
    <s v="Salaries incr etc"/>
    <n v="6450"/>
    <x v="0"/>
  </r>
  <r>
    <d v="2025-12-11T00:00:00"/>
    <x v="2"/>
    <x v="8"/>
    <m/>
    <n v="86600"/>
    <x v="6"/>
  </r>
  <r>
    <m/>
    <x v="2"/>
    <x v="8"/>
    <m/>
    <n v="86600"/>
    <x v="1"/>
  </r>
  <r>
    <m/>
    <x v="2"/>
    <x v="8"/>
    <m/>
    <n v="86600"/>
    <x v="2"/>
  </r>
  <r>
    <m/>
    <x v="2"/>
    <x v="8"/>
    <m/>
    <n v="14250"/>
    <x v="4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17">
  <location ref="A3:B39" firstHeaderRow="1" firstDataRow="1" firstDataCol="1"/>
  <pivotFields count="6">
    <pivotField subtotalTop="0" multipleItemSelectionAllowed="1" showAll="0"/>
    <pivotField axis="axisRow" outline="0" subtotalTop="0" multipleItemSelectionAllowed="1" showAll="0">
      <items count="4">
        <item x="1"/>
        <item x="0"/>
        <item x="2"/>
        <item t="default"/>
      </items>
    </pivotField>
    <pivotField axis="axisRow" subtotalTop="0" showAll="0">
      <items count="28">
        <item x="0"/>
        <item m="1" x="13"/>
        <item m="1" x="25"/>
        <item m="1" x="10"/>
        <item m="1" x="19"/>
        <item m="1" x="15"/>
        <item x="2"/>
        <item m="1" x="17"/>
        <item m="1" x="22"/>
        <item m="1" x="21"/>
        <item x="5"/>
        <item x="6"/>
        <item m="1" x="24"/>
        <item x="9"/>
        <item m="1" x="26"/>
        <item m="1" x="23"/>
        <item m="1" x="14"/>
        <item m="1" x="18"/>
        <item m="1" x="16"/>
        <item x="8"/>
        <item m="1" x="12"/>
        <item m="1" x="20"/>
        <item m="1" x="11"/>
        <item x="3"/>
        <item x="1"/>
        <item x="4"/>
        <item x="7"/>
        <item t="default"/>
      </items>
    </pivotField>
    <pivotField subtotalTop="0" showAll="0"/>
    <pivotField dataField="1" subtotalTop="0" showAll="0"/>
    <pivotField subtotalTop="0" showAll="0">
      <items count="9">
        <item x="2"/>
        <item x="1"/>
        <item x="5"/>
        <item x="0"/>
        <item x="3"/>
        <item x="4"/>
        <item x="6"/>
        <item x="7"/>
        <item t="default"/>
      </items>
    </pivotField>
  </pivotFields>
  <rowFields count="2">
    <field x="2"/>
    <field x="1"/>
  </rowFields>
  <rowItems count="36">
    <i>
      <x/>
    </i>
    <i r="1">
      <x/>
    </i>
    <i r="1">
      <x v="1"/>
    </i>
    <i t="default">
      <x/>
    </i>
    <i>
      <x v="6"/>
    </i>
    <i r="1">
      <x v="1"/>
    </i>
    <i t="default">
      <x v="6"/>
    </i>
    <i>
      <x v="10"/>
    </i>
    <i r="1">
      <x/>
    </i>
    <i r="1">
      <x v="1"/>
    </i>
    <i t="default">
      <x v="10"/>
    </i>
    <i>
      <x v="11"/>
    </i>
    <i r="1">
      <x/>
    </i>
    <i r="1">
      <x v="1"/>
    </i>
    <i t="default">
      <x v="11"/>
    </i>
    <i>
      <x v="13"/>
    </i>
    <i r="1">
      <x v="2"/>
    </i>
    <i t="default">
      <x v="13"/>
    </i>
    <i>
      <x v="19"/>
    </i>
    <i r="1">
      <x v="2"/>
    </i>
    <i t="default">
      <x v="19"/>
    </i>
    <i>
      <x v="23"/>
    </i>
    <i r="1">
      <x/>
    </i>
    <i t="default">
      <x v="23"/>
    </i>
    <i>
      <x v="24"/>
    </i>
    <i r="1">
      <x/>
    </i>
    <i r="1">
      <x v="1"/>
    </i>
    <i t="default">
      <x v="24"/>
    </i>
    <i>
      <x v="25"/>
    </i>
    <i r="1">
      <x/>
    </i>
    <i r="1">
      <x v="1"/>
    </i>
    <i t="default">
      <x v="25"/>
    </i>
    <i>
      <x v="26"/>
    </i>
    <i r="1">
      <x v="1"/>
    </i>
    <i t="default">
      <x v="26"/>
    </i>
    <i t="grand">
      <x/>
    </i>
  </rowItems>
  <colItems count="1">
    <i/>
  </colItems>
  <dataFields count="1">
    <dataField name="Sum of Amount" fld="4" baseField="2" baseItem="14" numFmtId="170"/>
  </dataFields>
  <formats count="8">
    <format dxfId="9">
      <pivotArea outline="0" collapsedLevelsAreSubtotals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2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2" count="9">
            <x v="0"/>
            <x v="3"/>
            <x v="4"/>
            <x v="5"/>
            <x v="6"/>
            <x v="8"/>
            <x v="9"/>
            <x v="11"/>
            <x v="12"/>
          </reference>
        </references>
      </pivotArea>
    </format>
    <format dxfId="3">
      <pivotArea dataOnly="0" labelOnly="1" grandRow="1" outline="0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6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0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7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</references>
      </pivotArea>
    </chartFormat>
    <chartFormat chart="1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0"/>
          </reference>
        </references>
      </pivotArea>
    </chartFormat>
    <chartFormat chart="1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</references>
      </pivotArea>
    </chartFormat>
    <chartFormat chart="1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3"/>
          </reference>
        </references>
      </pivotArea>
    </chartFormat>
    <chartFormat chart="1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4"/>
          </reference>
        </references>
      </pivotArea>
    </chartFormat>
    <chartFormat chart="1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"/>
          </reference>
        </references>
      </pivotArea>
    </chartFormat>
    <chartFormat chart="1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4"/>
          </reference>
        </references>
      </pivotArea>
    </chartFormat>
    <chartFormat chart="1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5"/>
          </reference>
        </references>
      </pivotArea>
    </chartFormat>
    <chartFormat chart="1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6"/>
          </reference>
        </references>
      </pivotArea>
    </chartFormat>
    <chartFormat chart="1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3"/>
          </reference>
        </references>
      </pivotArea>
    </chartFormat>
    <chartFormat chart="1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5"/>
          </reference>
        </references>
      </pivotArea>
    </chartFormat>
    <chartFormat chart="13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3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3"/>
          </reference>
        </references>
      </pivotArea>
    </chartFormat>
    <chartFormat chart="13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4"/>
          </reference>
        </references>
      </pivotArea>
    </chartFormat>
    <chartFormat chart="13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5"/>
          </reference>
        </references>
      </pivotArea>
    </chartFormat>
    <chartFormat chart="14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3"/>
          </reference>
        </references>
      </pivotArea>
    </chartFormat>
    <chartFormat chart="14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4"/>
          </reference>
        </references>
      </pivotArea>
    </chartFormat>
    <chartFormat chart="14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5"/>
          </reference>
        </references>
      </pivotArea>
    </chartFormat>
    <chartFormat chart="1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1:B19" totalsRowShown="0" headerRowDxfId="14" headerRowBorderDxfId="13" tableBorderDxfId="12" headerRowCellStyle="Check Cell">
  <autoFilter ref="A11:B19" xr:uid="{00000000-0009-0000-0100-000001000000}"/>
  <tableColumns count="2">
    <tableColumn id="1" xr3:uid="{00000000-0010-0000-0000-000001000000}" name="Account Name" dataDxfId="11" dataCellStyle="Check Cell"/>
    <tableColumn id="2" xr3:uid="{00000000-0010-0000-0000-000002000000}" name="Amount" dataDxfId="10" dataCellStyle="Comma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4"/>
  <sheetViews>
    <sheetView topLeftCell="A11" zoomScale="115" zoomScaleNormal="115" workbookViewId="0">
      <selection activeCell="A17" sqref="A17:B18"/>
    </sheetView>
  </sheetViews>
  <sheetFormatPr defaultRowHeight="14.4"/>
  <cols>
    <col min="1" max="2" width="15.5546875" customWidth="1"/>
    <col min="3" max="3" width="11.5546875" bestFit="1" customWidth="1"/>
    <col min="4" max="4" width="13.109375" bestFit="1" customWidth="1"/>
    <col min="5" max="5" width="11.5546875" bestFit="1" customWidth="1"/>
    <col min="6" max="6" width="16.88671875" bestFit="1" customWidth="1"/>
    <col min="7" max="7" width="11.5546875" bestFit="1" customWidth="1"/>
    <col min="8" max="8" width="10.6640625" bestFit="1" customWidth="1"/>
    <col min="9" max="9" width="11.77734375" bestFit="1" customWidth="1"/>
    <col min="10" max="10" width="12.109375" bestFit="1" customWidth="1"/>
    <col min="11" max="11" width="15.33203125" bestFit="1" customWidth="1"/>
    <col min="12" max="12" width="13.109375" customWidth="1"/>
    <col min="13" max="13" width="14.6640625" bestFit="1" customWidth="1"/>
    <col min="14" max="15" width="5.6640625" customWidth="1"/>
    <col min="16" max="16" width="7.21875" customWidth="1"/>
    <col min="17" max="17" width="6" customWidth="1"/>
    <col min="18" max="18" width="14" bestFit="1" customWidth="1"/>
    <col min="19" max="19" width="6" customWidth="1"/>
    <col min="20" max="20" width="7.33203125" customWidth="1"/>
    <col min="21" max="21" width="13.109375" bestFit="1" customWidth="1"/>
    <col min="22" max="22" width="10.77734375" bestFit="1" customWidth="1"/>
  </cols>
  <sheetData>
    <row r="1" spans="1:8" ht="16.8" customHeight="1">
      <c r="A1" s="471" t="s">
        <v>983</v>
      </c>
      <c r="B1" s="471"/>
      <c r="C1" s="471"/>
      <c r="D1" s="471"/>
      <c r="E1" s="471"/>
      <c r="F1" s="471"/>
      <c r="G1" s="471"/>
    </row>
    <row r="2" spans="1:8" ht="19.2" customHeight="1">
      <c r="A2" s="419" t="s">
        <v>984</v>
      </c>
      <c r="B2" s="419" t="s">
        <v>1</v>
      </c>
      <c r="C2" s="419" t="s">
        <v>985</v>
      </c>
      <c r="D2" s="419" t="s">
        <v>986</v>
      </c>
      <c r="E2" s="419" t="s">
        <v>987</v>
      </c>
      <c r="F2" s="419" t="s">
        <v>988</v>
      </c>
      <c r="G2" s="419" t="s">
        <v>989</v>
      </c>
    </row>
    <row r="3" spans="1:8" ht="19.2" customHeight="1">
      <c r="A3" s="420" t="s">
        <v>65</v>
      </c>
      <c r="B3" s="469">
        <v>-8480</v>
      </c>
      <c r="C3" s="469">
        <f>SUMIF(Income!H:H,'MS New'!A3,Income!G:G)</f>
        <v>2650</v>
      </c>
      <c r="D3" s="469">
        <f>SUMIF(Expense!F:F,'MS New'!A3,Expense!E:E)</f>
        <v>25170</v>
      </c>
      <c r="E3" s="469">
        <f>SUMIF(tfr!$E:$E,'MS New'!A3,tfr!$C:$C)</f>
        <v>30000</v>
      </c>
      <c r="F3" s="469">
        <f>SUMIF(tfr!D:D,'MS New'!A3,tfr!C:C)</f>
        <v>0</v>
      </c>
      <c r="G3" s="469">
        <f t="shared" ref="G3:G8" si="0">+B3+C3-D3+E3-F3</f>
        <v>-1000</v>
      </c>
      <c r="H3" s="443"/>
    </row>
    <row r="4" spans="1:8" ht="19.2" customHeight="1">
      <c r="A4" s="420" t="s">
        <v>977</v>
      </c>
      <c r="B4" s="469">
        <v>4511</v>
      </c>
      <c r="C4" s="469">
        <f>SUMIF(Income!H:H,'MS New'!A4,Income!G:G)</f>
        <v>0</v>
      </c>
      <c r="D4" s="469">
        <f>SUMIF(Expense!F:F,'MS New'!A4,Expense!E:E)</f>
        <v>280500</v>
      </c>
      <c r="E4" s="469">
        <f>SUMIF(tfr!$E:$E,'MS New'!A4,tfr!$C:$C)</f>
        <v>302000</v>
      </c>
      <c r="F4" s="469">
        <f>SUMIF(tfr!D:D,'MS New'!A4,tfr!C:C)</f>
        <v>26000</v>
      </c>
      <c r="G4" s="469">
        <f t="shared" si="0"/>
        <v>11</v>
      </c>
      <c r="H4" s="443"/>
    </row>
    <row r="5" spans="1:8" ht="19.2" customHeight="1">
      <c r="A5" s="420" t="s">
        <v>978</v>
      </c>
      <c r="B5" s="469">
        <v>4238</v>
      </c>
      <c r="C5" s="469">
        <f>SUMIF(Income!H:H,'MS New'!A5,Income!G:G)</f>
        <v>0</v>
      </c>
      <c r="D5" s="469">
        <f>SUMIF(Expense!F:F,'MS New'!A5,Expense!E:E)</f>
        <v>2461</v>
      </c>
      <c r="E5" s="469">
        <f>SUMIF(tfr!$E:$E,'MS New'!A5,tfr!$C:$C)</f>
        <v>0</v>
      </c>
      <c r="F5" s="469">
        <f>SUMIF(tfr!D:D,'MS New'!A5,tfr!C:C)</f>
        <v>4000</v>
      </c>
      <c r="G5" s="469">
        <f t="shared" si="0"/>
        <v>-2223</v>
      </c>
      <c r="H5" s="443"/>
    </row>
    <row r="6" spans="1:8" ht="19.2" customHeight="1">
      <c r="A6" s="420" t="s">
        <v>979</v>
      </c>
      <c r="B6" s="469">
        <v>5350</v>
      </c>
      <c r="C6" s="469">
        <f>SUMIF(Income!H:H,'MS New'!A6,Income!G:G)</f>
        <v>359150</v>
      </c>
      <c r="D6" s="469">
        <f>SUMIF(Expense!F:F,'MS New'!A6,Expense!E:E)</f>
        <v>119200</v>
      </c>
      <c r="E6" s="469">
        <f>SUMIF(tfr!$E:$E,'MS New'!A6,tfr!$C:$C)</f>
        <v>0</v>
      </c>
      <c r="F6" s="469">
        <f>SUMIF(tfr!D:D,'MS New'!A6,tfr!C:C)</f>
        <v>237850</v>
      </c>
      <c r="G6" s="469">
        <f t="shared" si="0"/>
        <v>7450</v>
      </c>
      <c r="H6" s="443"/>
    </row>
    <row r="7" spans="1:8" ht="19.2" customHeight="1">
      <c r="A7" s="420" t="s">
        <v>981</v>
      </c>
      <c r="B7" s="469">
        <v>1715</v>
      </c>
      <c r="C7" s="469">
        <f>SUMIF(Income!H:H,'MS New'!A7,Income!G:G)</f>
        <v>15820</v>
      </c>
      <c r="D7" s="469">
        <f>SUMIF(Expense!F:F,'MS New'!A7,Expense!E:E)</f>
        <v>15665</v>
      </c>
      <c r="E7" s="469">
        <f>SUMIF(tfr!$E:$E,'MS New'!A7,tfr!$C:$C)</f>
        <v>5350</v>
      </c>
      <c r="F7" s="469">
        <f>SUMIF(tfr!D:D,'MS New'!A7,tfr!C:C)</f>
        <v>0</v>
      </c>
      <c r="G7" s="469">
        <f t="shared" si="0"/>
        <v>7220</v>
      </c>
      <c r="H7" s="443"/>
    </row>
    <row r="8" spans="1:8" ht="19.2" customHeight="1">
      <c r="A8" s="420" t="s">
        <v>980</v>
      </c>
      <c r="B8" s="469">
        <v>0</v>
      </c>
      <c r="C8" s="469">
        <f>SUMIF(Income!H:H,'MS New'!A8,Income!G:G)</f>
        <v>228970</v>
      </c>
      <c r="D8" s="469">
        <f>SUMIF(Expense!F:F,'MS New'!A8,Expense!E:E)</f>
        <v>122200</v>
      </c>
      <c r="E8" s="469">
        <f>SUMIF(tfr!$E:$E,'MS New'!A8,tfr!$C:$C)</f>
        <v>0</v>
      </c>
      <c r="F8" s="469">
        <f>SUMIF(tfr!D:D,'MS New'!A8,tfr!C:C)</f>
        <v>84550</v>
      </c>
      <c r="G8" s="469">
        <f t="shared" si="0"/>
        <v>22220</v>
      </c>
      <c r="H8" s="443"/>
    </row>
    <row r="9" spans="1:8" ht="19.2" customHeight="1">
      <c r="A9" s="420" t="s">
        <v>982</v>
      </c>
      <c r="B9" s="469">
        <v>-3840</v>
      </c>
      <c r="C9" s="469">
        <f>SUMIF(Income!H:H,'MS New'!A9,Income!G:G)</f>
        <v>0</v>
      </c>
      <c r="D9" s="469">
        <f>SUMIF(Expense!F:F,'MS New'!A9,Expense!E:E)</f>
        <v>0</v>
      </c>
      <c r="E9" s="469">
        <f>SUMIF(tfr!$E:$E,'MS New'!A9,tfr!$C:$C)</f>
        <v>15050</v>
      </c>
      <c r="F9" s="469">
        <f>SUMIF(tfr!D:D,'MS New'!A9,tfr!C:C)</f>
        <v>0</v>
      </c>
      <c r="G9" s="469">
        <f t="shared" ref="G9" si="1">+B9+C9-D9+E9-F9</f>
        <v>11210</v>
      </c>
    </row>
    <row r="11" spans="1:8" ht="15" thickBot="1">
      <c r="A11" s="416" t="s">
        <v>984</v>
      </c>
      <c r="B11" s="417" t="s">
        <v>153</v>
      </c>
    </row>
    <row r="12" spans="1:8" ht="15.6" thickTop="1" thickBot="1">
      <c r="A12" s="388" t="s">
        <v>65</v>
      </c>
      <c r="B12" s="358">
        <f>+G3</f>
        <v>-1000</v>
      </c>
      <c r="D12" s="468"/>
    </row>
    <row r="13" spans="1:8" ht="15.6" thickTop="1" thickBot="1">
      <c r="A13" s="388" t="s">
        <v>977</v>
      </c>
      <c r="B13" s="358">
        <f t="shared" ref="B13:B18" si="2">+G4</f>
        <v>11</v>
      </c>
    </row>
    <row r="14" spans="1:8" ht="15.6" thickTop="1" thickBot="1">
      <c r="A14" s="388" t="s">
        <v>978</v>
      </c>
      <c r="B14" s="358">
        <f t="shared" si="2"/>
        <v>-2223</v>
      </c>
    </row>
    <row r="15" spans="1:8" ht="15.6" thickTop="1" thickBot="1">
      <c r="A15" s="388" t="s">
        <v>979</v>
      </c>
      <c r="B15" s="358">
        <f t="shared" si="2"/>
        <v>7450</v>
      </c>
      <c r="E15">
        <f>2086+1546</f>
        <v>3632</v>
      </c>
    </row>
    <row r="16" spans="1:8" ht="15.6" thickTop="1" thickBot="1">
      <c r="A16" s="388" t="s">
        <v>981</v>
      </c>
      <c r="B16" s="358">
        <f t="shared" si="2"/>
        <v>7220</v>
      </c>
      <c r="D16" s="343"/>
      <c r="E16">
        <f>40-15</f>
        <v>25</v>
      </c>
    </row>
    <row r="17" spans="1:7" ht="15.6" thickTop="1" thickBot="1">
      <c r="A17" s="388" t="s">
        <v>980</v>
      </c>
      <c r="B17" s="358">
        <f t="shared" si="2"/>
        <v>22220</v>
      </c>
      <c r="D17" s="383">
        <f>22600-Table1[[#This Row],[Amount]]</f>
        <v>380</v>
      </c>
      <c r="E17">
        <f>2829+3733</f>
        <v>6562</v>
      </c>
      <c r="G17" s="367"/>
    </row>
    <row r="18" spans="1:7" ht="15.6" thickTop="1" thickBot="1">
      <c r="A18" s="388" t="s">
        <v>982</v>
      </c>
      <c r="B18" s="358">
        <f t="shared" si="2"/>
        <v>11210</v>
      </c>
      <c r="D18">
        <f>5590+1180+900+1950</f>
        <v>9620</v>
      </c>
    </row>
    <row r="19" spans="1:7" ht="15" thickTop="1">
      <c r="A19" s="389" t="s">
        <v>3</v>
      </c>
      <c r="B19" s="359">
        <f>SUM(B12:B18)</f>
        <v>44888</v>
      </c>
      <c r="F19" s="383"/>
    </row>
    <row r="23" spans="1:7">
      <c r="A23" s="418" t="s">
        <v>968</v>
      </c>
      <c r="B23" s="362" t="s">
        <v>272</v>
      </c>
      <c r="C23" s="362" t="s">
        <v>993</v>
      </c>
      <c r="D23" s="362" t="s">
        <v>994</v>
      </c>
      <c r="E23" s="362" t="s">
        <v>995</v>
      </c>
      <c r="F23" s="362" t="s">
        <v>996</v>
      </c>
    </row>
    <row r="24" spans="1:7">
      <c r="A24" s="363" t="s">
        <v>477</v>
      </c>
      <c r="B24" s="353" t="s">
        <v>423</v>
      </c>
      <c r="C24" s="364">
        <f>SUMIFS(Income!F:F,Income!A:A,'MS New'!A24,Income!B:B,'MS New'!B24)</f>
        <v>36150</v>
      </c>
      <c r="D24" s="364">
        <f>SUMIFS(Income!G:G,Income!A:A,'MS New'!A24,Income!B:B,'MS New'!B24)</f>
        <v>34400</v>
      </c>
      <c r="E24" s="364">
        <f>SUMIFS(Income!I:I, Income!A:A, 'MS New'!A24, Income!B:B, 'MS New'!B24, Income!I:I, "&gt;0")</f>
        <v>1750</v>
      </c>
      <c r="F24" s="368">
        <f>+D24/C24</f>
        <v>0.95159059474412167</v>
      </c>
    </row>
    <row r="25" spans="1:7">
      <c r="A25" s="363" t="s">
        <v>477</v>
      </c>
      <c r="B25" s="353" t="s">
        <v>424</v>
      </c>
      <c r="C25" s="364">
        <f>SUMIFS(Income!F:F,Income!A:A,'MS New'!A25,Income!B:B,'MS New'!B25)</f>
        <v>41400</v>
      </c>
      <c r="D25" s="364">
        <f>SUMIFS(Income!G:G,Income!A:A,'MS New'!A25,Income!B:B,'MS New'!B25)</f>
        <v>41400</v>
      </c>
      <c r="E25" s="364">
        <f>SUMIFS(Income!I:I, Income!A:A, 'MS New'!A25, Income!B:B, 'MS New'!B25, Income!I:I, "&gt;0")</f>
        <v>0</v>
      </c>
      <c r="F25" s="368">
        <f t="shared" ref="F25:F43" si="3">+D25/C25</f>
        <v>1</v>
      </c>
    </row>
    <row r="26" spans="1:7">
      <c r="A26" s="363" t="s">
        <v>477</v>
      </c>
      <c r="B26" s="353" t="s">
        <v>878</v>
      </c>
      <c r="C26" s="364">
        <f>SUMIFS(Income!F:F,Income!A:A,'MS New'!A26,Income!B:B,'MS New'!B26)</f>
        <v>38000</v>
      </c>
      <c r="D26" s="364">
        <f>SUMIFS(Income!G:G,Income!A:A,'MS New'!A26,Income!B:B,'MS New'!B26)</f>
        <v>38000</v>
      </c>
      <c r="E26" s="364">
        <f>SUMIFS(Income!I:I, Income!A:A, 'MS New'!A26, Income!B:B, 'MS New'!B26, Income!I:I, "&gt;0")</f>
        <v>0</v>
      </c>
      <c r="F26" s="368">
        <f t="shared" si="3"/>
        <v>1</v>
      </c>
    </row>
    <row r="27" spans="1:7">
      <c r="A27" s="363" t="s">
        <v>477</v>
      </c>
      <c r="B27" s="353" t="s">
        <v>970</v>
      </c>
      <c r="C27" s="364">
        <f>SUMIFS(Income!F:F,Income!A:A,'MS New'!A27,Income!B:B,'MS New'!B27)</f>
        <v>34200</v>
      </c>
      <c r="D27" s="364">
        <f>SUMIFS(Income!G:G,Income!A:A,'MS New'!A27,Income!B:B,'MS New'!B27)</f>
        <v>34200</v>
      </c>
      <c r="E27" s="364">
        <f>SUMIFS(Income!I:I, Income!A:A, 'MS New'!A27, Income!B:B, 'MS New'!B27, Income!I:I, "&gt;0")</f>
        <v>0</v>
      </c>
      <c r="F27" s="368">
        <f t="shared" si="3"/>
        <v>1</v>
      </c>
    </row>
    <row r="28" spans="1:7">
      <c r="A28" s="363" t="s">
        <v>477</v>
      </c>
      <c r="B28" s="353" t="s">
        <v>971</v>
      </c>
      <c r="C28" s="364">
        <f>SUMIFS(Income!F:F,Income!A:A,'MS New'!A28,Income!B:B,'MS New'!B28)</f>
        <v>41050</v>
      </c>
      <c r="D28" s="364">
        <f>SUMIFS(Income!G:G,Income!A:A,'MS New'!A28,Income!B:B,'MS New'!B28)</f>
        <v>41050</v>
      </c>
      <c r="E28" s="364">
        <f>SUMIFS(Income!I:I, Income!A:A, 'MS New'!A28, Income!B:B, 'MS New'!B28, Income!I:I, "&gt;0")</f>
        <v>0</v>
      </c>
      <c r="F28" s="368">
        <f t="shared" si="3"/>
        <v>1</v>
      </c>
    </row>
    <row r="29" spans="1:7">
      <c r="A29" s="363" t="s">
        <v>477</v>
      </c>
      <c r="B29" s="410" t="s">
        <v>1009</v>
      </c>
      <c r="C29" s="364">
        <f>SUMIFS(Income!F:F,Income!A:A,'MS New'!A29,Income!B:B,'MS New'!B29)</f>
        <v>55650</v>
      </c>
      <c r="D29" s="364">
        <f>SUMIFS(Income!G:G,Income!A:A,'MS New'!A29,Income!B:B,'MS New'!B29)</f>
        <v>55650</v>
      </c>
      <c r="E29" s="364">
        <f>SUMIFS(Income!I:I, Income!A:A, 'MS New'!A29, Income!B:B, 'MS New'!B29, Income!I:I, "&gt;0")</f>
        <v>0</v>
      </c>
      <c r="F29" s="368">
        <f t="shared" si="3"/>
        <v>1</v>
      </c>
    </row>
    <row r="30" spans="1:7">
      <c r="A30" s="363" t="s">
        <v>477</v>
      </c>
      <c r="B30" s="353" t="s">
        <v>972</v>
      </c>
      <c r="C30" s="364">
        <f>SUMIFS(Income!F:F,Income!A:A,'MS New'!A30,Income!B:B,'MS New'!B30)</f>
        <v>43700</v>
      </c>
      <c r="D30" s="364">
        <f>SUMIFS(Income!G:G,Income!A:A,'MS New'!A30,Income!B:B,'MS New'!B30)</f>
        <v>43700</v>
      </c>
      <c r="E30" s="364">
        <f>SUMIFS(Income!I:I, Income!A:A, 'MS New'!A30, Income!B:B, 'MS New'!B30, Income!I:I, "&gt;0")</f>
        <v>0</v>
      </c>
      <c r="F30" s="368">
        <f t="shared" si="3"/>
        <v>1</v>
      </c>
    </row>
    <row r="31" spans="1:7">
      <c r="A31" s="363" t="s">
        <v>477</v>
      </c>
      <c r="B31" s="353" t="s">
        <v>973</v>
      </c>
      <c r="C31" s="364">
        <f>SUMIFS(Income!F:F,Income!A:A,'MS New'!A31,Income!B:B,'MS New'!B31)</f>
        <v>36100</v>
      </c>
      <c r="D31" s="364">
        <f>SUMIFS(Income!G:G,Income!A:A,'MS New'!A31,Income!B:B,'MS New'!B31)</f>
        <v>36100</v>
      </c>
      <c r="E31" s="364">
        <f>SUMIFS(Income!I:I, Income!A:A, 'MS New'!A31, Income!B:B, 'MS New'!B31, Income!I:I, "&gt;0")</f>
        <v>0</v>
      </c>
      <c r="F31" s="368">
        <f t="shared" si="3"/>
        <v>1</v>
      </c>
    </row>
    <row r="32" spans="1:7">
      <c r="A32" s="363" t="s">
        <v>477</v>
      </c>
      <c r="B32" s="353" t="s">
        <v>974</v>
      </c>
      <c r="C32" s="364">
        <f>SUMIFS(Income!F:F,Income!A:A,'MS New'!A32,Income!B:B,'MS New'!B32)</f>
        <v>34650</v>
      </c>
      <c r="D32" s="364">
        <f>SUMIFS(Income!G:G,Income!A:A,'MS New'!A32,Income!B:B,'MS New'!B32)</f>
        <v>34650</v>
      </c>
      <c r="E32" s="364">
        <f>SUMIFS(Income!I:I, Income!A:A, 'MS New'!A32, Income!B:B, 'MS New'!B32, Income!I:I, "&gt;0")</f>
        <v>0</v>
      </c>
      <c r="F32" s="368">
        <f t="shared" si="3"/>
        <v>1</v>
      </c>
    </row>
    <row r="33" spans="1:7">
      <c r="A33" s="363" t="s">
        <v>477</v>
      </c>
      <c r="B33" s="410" t="s">
        <v>1010</v>
      </c>
      <c r="C33" s="364"/>
      <c r="D33" s="364">
        <f>SUMIFS(Income!G:G,Income!A:A,'MS New'!A33,Income!B:B,'MS New'!B33)</f>
        <v>13740</v>
      </c>
      <c r="E33" s="364"/>
      <c r="F33" s="368"/>
    </row>
    <row r="34" spans="1:7">
      <c r="A34" s="369" t="s">
        <v>477</v>
      </c>
      <c r="B34" s="369" t="s">
        <v>3</v>
      </c>
      <c r="C34" s="370">
        <f>SUM(C24:C32)</f>
        <v>360900</v>
      </c>
      <c r="D34" s="370">
        <f>SUM(D24:D33)</f>
        <v>372890</v>
      </c>
      <c r="E34" s="370">
        <f>SUM(E24:E32)</f>
        <v>1750</v>
      </c>
      <c r="F34" s="371"/>
    </row>
    <row r="35" spans="1:7">
      <c r="A35" s="362" t="s">
        <v>968</v>
      </c>
      <c r="B35" s="362" t="s">
        <v>272</v>
      </c>
      <c r="C35" s="362" t="s">
        <v>993</v>
      </c>
      <c r="D35" s="362" t="s">
        <v>994</v>
      </c>
      <c r="E35" s="362" t="s">
        <v>995</v>
      </c>
      <c r="F35" s="362" t="s">
        <v>996</v>
      </c>
    </row>
    <row r="36" spans="1:7">
      <c r="A36" s="363" t="s">
        <v>462</v>
      </c>
      <c r="B36" s="353" t="s">
        <v>423</v>
      </c>
      <c r="C36" s="364">
        <f>SUMIFS(Income!F:F,Income!A:A,'MS New'!A36,Income!B:B,'MS New'!B36)</f>
        <v>45850</v>
      </c>
      <c r="D36" s="364">
        <f>SUMIFS(Income!G:G,Income!A:A,'MS New'!A36,Income!B:B,'MS New'!B36)</f>
        <v>45850</v>
      </c>
      <c r="E36" s="364">
        <f>SUMIFS(Income!I:I, Income!A:A, 'MS New'!A36, Income!B:B, 'MS New'!B36, Income!I:I, "&gt;0")</f>
        <v>0</v>
      </c>
      <c r="F36" s="368">
        <f t="shared" si="3"/>
        <v>1</v>
      </c>
    </row>
    <row r="37" spans="1:7">
      <c r="A37" s="363" t="s">
        <v>462</v>
      </c>
      <c r="B37" s="353" t="s">
        <v>424</v>
      </c>
      <c r="C37" s="364">
        <f>SUMIFS(Income!F:F,Income!A:A,'MS New'!A37,Income!B:B,'MS New'!B37)</f>
        <v>38000</v>
      </c>
      <c r="D37" s="364">
        <f>SUMIFS(Income!G:G,Income!A:A,'MS New'!A37,Income!B:B,'MS New'!B37)</f>
        <v>37000</v>
      </c>
      <c r="E37" s="364">
        <f>SUMIFS(Income!I:I, Income!A:A, 'MS New'!A37, Income!B:B, 'MS New'!B37, Income!I:I, "&gt;0")</f>
        <v>1000</v>
      </c>
      <c r="F37" s="368">
        <f t="shared" si="3"/>
        <v>0.97368421052631582</v>
      </c>
    </row>
    <row r="38" spans="1:7">
      <c r="A38" s="363" t="s">
        <v>462</v>
      </c>
      <c r="B38" s="353" t="s">
        <v>878</v>
      </c>
      <c r="C38" s="364">
        <f>SUMIFS(Income!F:F,Income!A:A,'MS New'!A38,Income!B:B,'MS New'!B38)</f>
        <v>31550</v>
      </c>
      <c r="D38" s="364">
        <f>SUMIFS(Income!G:G,Income!A:A,'MS New'!A38,Income!B:B,'MS New'!B38)</f>
        <v>31550</v>
      </c>
      <c r="E38" s="364">
        <f>SUMIFS(Income!I:I, Income!A:A, 'MS New'!A38, Income!B:B, 'MS New'!B38, Income!I:I, "&gt;0")</f>
        <v>0</v>
      </c>
      <c r="F38" s="368">
        <f t="shared" si="3"/>
        <v>1</v>
      </c>
    </row>
    <row r="39" spans="1:7">
      <c r="A39" s="363" t="s">
        <v>462</v>
      </c>
      <c r="B39" s="353" t="s">
        <v>970</v>
      </c>
      <c r="C39" s="364">
        <f>SUMIFS(Income!F:F,Income!A:A,'MS New'!A39,Income!B:B,'MS New'!B39)</f>
        <v>26350</v>
      </c>
      <c r="D39" s="364">
        <f>SUMIFS(Income!G:G,Income!A:A,'MS New'!A39,Income!B:B,'MS New'!B39)</f>
        <v>26350</v>
      </c>
      <c r="E39" s="364">
        <f>SUMIFS(Income!I:I, Income!A:A, 'MS New'!A39, Income!B:B, 'MS New'!B39, Income!I:I, "&gt;0")</f>
        <v>0</v>
      </c>
      <c r="F39" s="368">
        <f t="shared" si="3"/>
        <v>1</v>
      </c>
    </row>
    <row r="40" spans="1:7">
      <c r="A40" s="363" t="s">
        <v>462</v>
      </c>
      <c r="B40" s="410" t="s">
        <v>1009</v>
      </c>
      <c r="C40" s="364">
        <f>SUMIFS(Income!F:F,Income!A:A,'MS New'!A40,Income!B:B,'MS New'!B40)</f>
        <v>26400</v>
      </c>
      <c r="D40" s="364">
        <f>SUMIFS(Income!G:G,Income!A:A,'MS New'!A40,Income!B:B,'MS New'!B40)</f>
        <v>26400</v>
      </c>
      <c r="E40" s="364">
        <f>SUMIFS(Income!I:I, Income!A:A, 'MS New'!A40, Income!B:B, 'MS New'!B40, Income!I:I, "&gt;0")</f>
        <v>0</v>
      </c>
      <c r="F40" s="368">
        <f t="shared" si="3"/>
        <v>1</v>
      </c>
    </row>
    <row r="41" spans="1:7">
      <c r="A41" s="363" t="s">
        <v>462</v>
      </c>
      <c r="B41" s="353" t="s">
        <v>972</v>
      </c>
      <c r="C41" s="364">
        <f>SUMIFS(Income!F:F,Income!A:A,'MS New'!A41,Income!B:B,'MS New'!B41)</f>
        <v>16650</v>
      </c>
      <c r="D41" s="364">
        <f>SUMIFS(Income!G:G,Income!A:A,'MS New'!A41,Income!B:B,'MS New'!B41)</f>
        <v>18650</v>
      </c>
      <c r="E41" s="364">
        <f>SUMIFS(Income!I:I, Income!A:A, 'MS New'!A41, Income!B:B, 'MS New'!B41, Income!I:I, "&gt;0")</f>
        <v>0</v>
      </c>
      <c r="F41" s="368">
        <f t="shared" si="3"/>
        <v>1.1201201201201201</v>
      </c>
    </row>
    <row r="42" spans="1:7">
      <c r="A42" s="363" t="s">
        <v>462</v>
      </c>
      <c r="B42" s="353" t="s">
        <v>973</v>
      </c>
      <c r="C42" s="364">
        <f>SUMIFS(Income!F:F,Income!A:A,'MS New'!A42,Income!B:B,'MS New'!B42)</f>
        <v>18550</v>
      </c>
      <c r="D42" s="364">
        <f>SUMIFS(Income!G:G,Income!A:A,'MS New'!A42,Income!B:B,'MS New'!B42)</f>
        <v>18550</v>
      </c>
      <c r="E42" s="364">
        <f>SUMIFS(Income!I:I, Income!A:A, 'MS New'!A42, Income!B:B, 'MS New'!B42, Income!I:I, "&gt;0")</f>
        <v>0</v>
      </c>
      <c r="F42" s="368">
        <f t="shared" si="3"/>
        <v>1</v>
      </c>
    </row>
    <row r="43" spans="1:7">
      <c r="A43" s="363" t="s">
        <v>462</v>
      </c>
      <c r="B43" s="353" t="s">
        <v>974</v>
      </c>
      <c r="C43" s="364">
        <f>SUMIFS(Income!F:F,Income!A:A,'MS New'!A43,Income!B:B,'MS New'!B43)</f>
        <v>20500</v>
      </c>
      <c r="D43" s="364">
        <f>SUMIFS(Income!G:G,Income!A:A,'MS New'!A43,Income!B:B,'MS New'!B43)</f>
        <v>20500</v>
      </c>
      <c r="E43" s="364">
        <f>SUMIFS(Income!I:I, Income!A:A, 'MS New'!A43, Income!B:B, 'MS New'!B43, Income!I:I, "&gt;0")</f>
        <v>0</v>
      </c>
      <c r="F43" s="368">
        <f t="shared" si="3"/>
        <v>1</v>
      </c>
      <c r="G43" s="22"/>
    </row>
    <row r="44" spans="1:7">
      <c r="A44" s="363" t="s">
        <v>462</v>
      </c>
      <c r="B44" s="410" t="s">
        <v>1010</v>
      </c>
      <c r="C44" s="364"/>
      <c r="D44" s="364">
        <f>SUMIFS(Income!G:G,Income!A:A,'MS New'!A44,Income!B:B,'MS New'!B44)</f>
        <v>6770</v>
      </c>
      <c r="E44" s="364"/>
      <c r="F44" s="368"/>
      <c r="G44" s="22"/>
    </row>
    <row r="45" spans="1:7">
      <c r="A45" s="369" t="s">
        <v>462</v>
      </c>
      <c r="B45" s="369" t="s">
        <v>3</v>
      </c>
      <c r="C45" s="372">
        <f>SUM(C36:C43)</f>
        <v>223850</v>
      </c>
      <c r="D45" s="372">
        <f>SUM(D36:D44)</f>
        <v>231620</v>
      </c>
      <c r="E45" s="372">
        <f>SUM(E36:E43)</f>
        <v>1000</v>
      </c>
      <c r="F45" s="372"/>
    </row>
    <row r="46" spans="1:7">
      <c r="B46" s="365" t="s">
        <v>92</v>
      </c>
      <c r="C46" s="366">
        <f>+C45+C34</f>
        <v>584750</v>
      </c>
      <c r="D46" s="366">
        <f>+D45+D34</f>
        <v>604510</v>
      </c>
      <c r="E46" s="366">
        <f>+E45+E34</f>
        <v>2750</v>
      </c>
      <c r="F46" s="366"/>
    </row>
    <row r="57" spans="8:14">
      <c r="H57" s="472" t="s">
        <v>1003</v>
      </c>
      <c r="I57" s="472"/>
      <c r="J57" s="472"/>
      <c r="K57" s="472"/>
    </row>
    <row r="58" spans="8:14">
      <c r="I58" s="386" t="s">
        <v>1005</v>
      </c>
      <c r="J58" s="386" t="s">
        <v>1006</v>
      </c>
      <c r="K58" s="386" t="s">
        <v>3</v>
      </c>
    </row>
    <row r="59" spans="8:14">
      <c r="H59" s="343" t="s">
        <v>65</v>
      </c>
      <c r="I59" s="367">
        <v>93500</v>
      </c>
      <c r="J59" s="367">
        <v>30000</v>
      </c>
      <c r="K59" s="383">
        <f>+I59+J59</f>
        <v>123500</v>
      </c>
      <c r="M59" s="367"/>
      <c r="N59" s="367"/>
    </row>
    <row r="60" spans="8:14">
      <c r="H60" s="343" t="s">
        <v>1004</v>
      </c>
      <c r="I60" s="44">
        <f>+I59</f>
        <v>93500</v>
      </c>
      <c r="J60" s="367">
        <v>-306500</v>
      </c>
      <c r="K60" s="383">
        <f t="shared" ref="K60:K61" si="4">+I60+J60</f>
        <v>-213000</v>
      </c>
      <c r="M60" s="367">
        <v>4100</v>
      </c>
      <c r="N60" s="367"/>
    </row>
    <row r="61" spans="8:14">
      <c r="H61" s="343" t="s">
        <v>818</v>
      </c>
      <c r="I61" s="44">
        <f>+I59</f>
        <v>93500</v>
      </c>
      <c r="J61" s="367">
        <v>-4000</v>
      </c>
      <c r="K61" s="383">
        <f t="shared" si="4"/>
        <v>89500</v>
      </c>
      <c r="M61" s="367">
        <v>15600</v>
      </c>
      <c r="N61" s="367"/>
    </row>
    <row r="62" spans="8:14">
      <c r="H62" s="22" t="s">
        <v>3</v>
      </c>
      <c r="I62" s="384">
        <f>SUM(I59:I61)</f>
        <v>280500</v>
      </c>
      <c r="J62" s="384"/>
      <c r="K62" s="385">
        <f t="shared" ref="K62" si="5">SUM(K59:K61)</f>
        <v>0</v>
      </c>
      <c r="L62" s="383"/>
      <c r="M62" s="367">
        <v>2013</v>
      </c>
    </row>
    <row r="63" spans="8:14">
      <c r="J63" s="343" t="s">
        <v>1004</v>
      </c>
      <c r="K63" s="383">
        <v>232500</v>
      </c>
      <c r="M63" s="384">
        <f>SUM(M60:M62)</f>
        <v>21713</v>
      </c>
    </row>
    <row r="64" spans="8:14">
      <c r="J64" s="343" t="s">
        <v>980</v>
      </c>
      <c r="K64" s="383">
        <v>54000</v>
      </c>
      <c r="L64" s="383"/>
      <c r="M64" s="383">
        <v>225000</v>
      </c>
    </row>
    <row r="65" spans="5:13">
      <c r="J65" s="22" t="s">
        <v>3</v>
      </c>
      <c r="K65" s="385">
        <f>SUM(K63:K64)</f>
        <v>286500</v>
      </c>
      <c r="M65" s="367">
        <v>57000</v>
      </c>
    </row>
    <row r="66" spans="5:13">
      <c r="E66" s="343"/>
      <c r="G66">
        <f>(281000+27000)/3</f>
        <v>102666.66666666667</v>
      </c>
      <c r="J66" s="343" t="s">
        <v>1007</v>
      </c>
      <c r="K66" s="383">
        <f>+K62-K65</f>
        <v>-286500</v>
      </c>
      <c r="M66" s="383">
        <f>+M63+K66</f>
        <v>-264787</v>
      </c>
    </row>
    <row r="67" spans="5:13">
      <c r="M67" s="383">
        <f>+M66-1735</f>
        <v>-266522</v>
      </c>
    </row>
    <row r="71" spans="5:13">
      <c r="G71" s="343"/>
    </row>
    <row r="72" spans="5:13">
      <c r="G72" s="343"/>
    </row>
    <row r="73" spans="5:13">
      <c r="G73" s="343"/>
    </row>
    <row r="74" spans="5:13">
      <c r="G74" s="343"/>
    </row>
  </sheetData>
  <mergeCells count="2">
    <mergeCell ref="A1:G1"/>
    <mergeCell ref="H57:K57"/>
  </mergeCells>
  <conditionalFormatting sqref="B12:B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{2BDA6B9C-5509-46D9-9F5E-BB25E3DF53C8}</x14:id>
        </ext>
      </extLst>
    </cfRule>
    <cfRule type="cellIs" dxfId="1" priority="2" operator="lessThan">
      <formula>0</formula>
    </cfRule>
    <cfRule type="cellIs" dxfId="0" priority="3" operator="greaterThan">
      <formula>0</formula>
    </cfRule>
  </conditionalFormatting>
  <conditionalFormatting sqref="F24:F33">
    <cfRule type="iconSet" priority="9">
      <iconSet>
        <cfvo type="percent" val="0"/>
        <cfvo type="percent" val="33"/>
        <cfvo type="percent" val="67"/>
      </iconSet>
    </cfRule>
  </conditionalFormatting>
  <conditionalFormatting sqref="F36:F44">
    <cfRule type="iconSet" priority="6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ignoredErrors>
    <ignoredError sqref="E34" formula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DA6B9C-5509-46D9-9F5E-BB25E3DF53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B12:B19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E17"/>
  <sheetViews>
    <sheetView workbookViewId="0">
      <selection activeCell="B9" sqref="B9"/>
    </sheetView>
  </sheetViews>
  <sheetFormatPr defaultRowHeight="14.4"/>
  <cols>
    <col min="1" max="1" width="3.5546875" style="391" bestFit="1" customWidth="1"/>
    <col min="2" max="2" width="10.77734375" customWidth="1"/>
    <col min="3" max="3" width="11.109375" style="367" bestFit="1" customWidth="1"/>
    <col min="4" max="4" width="13.44140625" customWidth="1"/>
    <col min="5" max="5" width="11.33203125" bestFit="1" customWidth="1"/>
  </cols>
  <sheetData>
    <row r="1" spans="1:5">
      <c r="A1" s="386" t="s">
        <v>160</v>
      </c>
      <c r="B1" s="22" t="s">
        <v>990</v>
      </c>
      <c r="C1" s="390" t="s">
        <v>153</v>
      </c>
      <c r="D1" s="22" t="s">
        <v>992</v>
      </c>
      <c r="E1" s="22" t="s">
        <v>997</v>
      </c>
    </row>
    <row r="2" spans="1:5">
      <c r="A2" s="391">
        <v>1</v>
      </c>
      <c r="B2" s="265">
        <v>46022</v>
      </c>
      <c r="C2" s="367">
        <v>5350</v>
      </c>
      <c r="D2" t="s">
        <v>979</v>
      </c>
      <c r="E2" t="s">
        <v>981</v>
      </c>
    </row>
    <row r="3" spans="1:5">
      <c r="A3" s="391">
        <v>2</v>
      </c>
      <c r="B3" s="265">
        <v>46022</v>
      </c>
      <c r="C3" s="367">
        <f>5000+50</f>
        <v>5050</v>
      </c>
      <c r="D3" t="s">
        <v>980</v>
      </c>
      <c r="E3" t="s">
        <v>982</v>
      </c>
    </row>
    <row r="4" spans="1:5">
      <c r="A4" s="391">
        <v>3</v>
      </c>
      <c r="B4" s="265">
        <v>46022</v>
      </c>
      <c r="C4" s="367">
        <v>69500</v>
      </c>
      <c r="D4" t="s">
        <v>980</v>
      </c>
      <c r="E4" t="s">
        <v>977</v>
      </c>
    </row>
    <row r="5" spans="1:5">
      <c r="A5" s="391">
        <v>4</v>
      </c>
      <c r="B5" s="265">
        <v>46022</v>
      </c>
      <c r="C5" s="367">
        <v>232500</v>
      </c>
      <c r="D5" s="343" t="s">
        <v>979</v>
      </c>
      <c r="E5" t="s">
        <v>977</v>
      </c>
    </row>
    <row r="6" spans="1:5">
      <c r="B6" s="265"/>
      <c r="C6" s="367">
        <v>26000</v>
      </c>
      <c r="D6" s="343" t="s">
        <v>977</v>
      </c>
      <c r="E6" s="343" t="s">
        <v>65</v>
      </c>
    </row>
    <row r="7" spans="1:5">
      <c r="B7" s="265"/>
      <c r="C7" s="367">
        <v>4000</v>
      </c>
      <c r="D7" s="343" t="s">
        <v>978</v>
      </c>
      <c r="E7" s="343" t="s">
        <v>65</v>
      </c>
    </row>
    <row r="8" spans="1:5">
      <c r="B8" s="265">
        <v>46051</v>
      </c>
      <c r="C8" s="367">
        <v>10000</v>
      </c>
      <c r="D8" s="343" t="s">
        <v>980</v>
      </c>
      <c r="E8" s="343" t="s">
        <v>982</v>
      </c>
    </row>
    <row r="9" spans="1:5">
      <c r="B9" s="265"/>
      <c r="E9" s="343"/>
    </row>
    <row r="10" spans="1:5">
      <c r="B10" s="265"/>
      <c r="E10" s="343"/>
    </row>
    <row r="11" spans="1:5">
      <c r="B11" s="265"/>
      <c r="C11" s="431"/>
      <c r="E11" s="343"/>
    </row>
    <row r="12" spans="1:5">
      <c r="B12" s="265"/>
      <c r="E12" s="343"/>
    </row>
    <row r="13" spans="1:5">
      <c r="B13" s="265"/>
    </row>
    <row r="14" spans="1:5">
      <c r="B14" s="265"/>
    </row>
    <row r="15" spans="1:5">
      <c r="B15" s="265"/>
    </row>
    <row r="16" spans="1:5">
      <c r="B16" s="265"/>
    </row>
    <row r="17" spans="2:2">
      <c r="B17" s="265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Income!$O$2:$O$8</xm:f>
          </x14:formula1>
          <xm:sqref>D2:E17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O459"/>
  <sheetViews>
    <sheetView tabSelected="1" zoomScaleNormal="115" workbookViewId="0">
      <pane ySplit="1" topLeftCell="A71" activePane="bottomLeft" state="frozen"/>
      <selection pane="bottomLeft" activeCell="C63" sqref="C63:D91"/>
    </sheetView>
  </sheetViews>
  <sheetFormatPr defaultRowHeight="15.6"/>
  <cols>
    <col min="1" max="2" width="8.88671875" style="360"/>
    <col min="3" max="3" width="8.88671875" style="415"/>
    <col min="4" max="4" width="31.109375" style="360" bestFit="1" customWidth="1"/>
    <col min="5" max="5" width="16.109375" style="405" customWidth="1"/>
    <col min="6" max="6" width="17.21875" style="405" customWidth="1"/>
    <col min="7" max="7" width="18.6640625" style="430" customWidth="1"/>
    <col min="8" max="8" width="19" style="400" customWidth="1"/>
    <col min="9" max="9" width="13.88671875" style="405" bestFit="1" customWidth="1"/>
    <col min="10" max="10" width="12.88671875" style="400" customWidth="1"/>
  </cols>
  <sheetData>
    <row r="1" spans="1:15">
      <c r="A1" s="374" t="s">
        <v>968</v>
      </c>
      <c r="B1" s="374" t="s">
        <v>272</v>
      </c>
      <c r="C1" s="414" t="s">
        <v>4</v>
      </c>
      <c r="D1" s="413" t="s">
        <v>6</v>
      </c>
      <c r="E1" s="393" t="s">
        <v>439</v>
      </c>
      <c r="F1" s="393" t="s">
        <v>190</v>
      </c>
      <c r="G1" s="428" t="s">
        <v>969</v>
      </c>
      <c r="H1" s="394" t="s">
        <v>975</v>
      </c>
      <c r="I1" s="393" t="s">
        <v>58</v>
      </c>
      <c r="J1" s="394" t="s">
        <v>1011</v>
      </c>
      <c r="M1" t="s">
        <v>968</v>
      </c>
      <c r="N1" t="s">
        <v>272</v>
      </c>
      <c r="O1" t="s">
        <v>976</v>
      </c>
    </row>
    <row r="2" spans="1:15">
      <c r="A2" s="455" t="s">
        <v>477</v>
      </c>
      <c r="B2" s="455" t="s">
        <v>423</v>
      </c>
      <c r="C2" s="456">
        <v>1</v>
      </c>
      <c r="D2" s="463" t="s">
        <v>908</v>
      </c>
      <c r="E2" s="461">
        <v>900</v>
      </c>
      <c r="F2" s="464">
        <v>900</v>
      </c>
      <c r="G2" s="444">
        <v>900</v>
      </c>
      <c r="H2" s="398" t="s">
        <v>979</v>
      </c>
      <c r="I2" s="399">
        <f>F2-G2</f>
        <v>0</v>
      </c>
      <c r="M2" s="375" t="s">
        <v>477</v>
      </c>
      <c r="N2" s="353" t="s">
        <v>423</v>
      </c>
      <c r="O2" t="s">
        <v>65</v>
      </c>
    </row>
    <row r="3" spans="1:15">
      <c r="A3" s="360" t="s">
        <v>477</v>
      </c>
      <c r="B3" s="360" t="s">
        <v>423</v>
      </c>
      <c r="C3" s="415">
        <v>2</v>
      </c>
      <c r="D3" s="361" t="s">
        <v>909</v>
      </c>
      <c r="E3" s="395">
        <v>900</v>
      </c>
      <c r="F3" s="396">
        <v>900</v>
      </c>
      <c r="G3" s="445">
        <v>900</v>
      </c>
      <c r="H3" s="398" t="s">
        <v>979</v>
      </c>
      <c r="I3" s="399">
        <f t="shared" ref="I3:I66" si="0">F3-G3</f>
        <v>0</v>
      </c>
      <c r="M3" s="375" t="s">
        <v>462</v>
      </c>
      <c r="N3" s="353" t="s">
        <v>424</v>
      </c>
      <c r="O3" t="s">
        <v>977</v>
      </c>
    </row>
    <row r="4" spans="1:15">
      <c r="A4" s="360" t="s">
        <v>477</v>
      </c>
      <c r="B4" s="360" t="s">
        <v>423</v>
      </c>
      <c r="C4" s="415">
        <v>3</v>
      </c>
      <c r="D4" s="361" t="s">
        <v>910</v>
      </c>
      <c r="E4" s="395">
        <v>1750</v>
      </c>
      <c r="F4" s="396">
        <v>1750</v>
      </c>
      <c r="G4" s="200">
        <v>1750</v>
      </c>
      <c r="H4" s="398" t="s">
        <v>979</v>
      </c>
      <c r="I4" s="399">
        <f t="shared" si="0"/>
        <v>0</v>
      </c>
      <c r="N4" s="353" t="s">
        <v>878</v>
      </c>
      <c r="O4" t="s">
        <v>978</v>
      </c>
    </row>
    <row r="5" spans="1:15">
      <c r="A5" s="360" t="s">
        <v>477</v>
      </c>
      <c r="B5" s="360" t="s">
        <v>423</v>
      </c>
      <c r="C5" s="415">
        <v>4</v>
      </c>
      <c r="D5" s="361" t="s">
        <v>840</v>
      </c>
      <c r="E5" s="395">
        <v>900</v>
      </c>
      <c r="F5" s="396">
        <v>900</v>
      </c>
      <c r="G5" s="200">
        <v>900</v>
      </c>
      <c r="H5" s="398" t="s">
        <v>979</v>
      </c>
      <c r="I5" s="399">
        <f t="shared" si="0"/>
        <v>0</v>
      </c>
      <c r="N5" s="353" t="s">
        <v>970</v>
      </c>
      <c r="O5" t="s">
        <v>979</v>
      </c>
    </row>
    <row r="6" spans="1:15">
      <c r="A6" s="360" t="s">
        <v>477</v>
      </c>
      <c r="B6" s="360" t="s">
        <v>423</v>
      </c>
      <c r="C6" s="415">
        <v>5</v>
      </c>
      <c r="D6" s="361" t="s">
        <v>911</v>
      </c>
      <c r="E6" s="395">
        <v>1750</v>
      </c>
      <c r="F6" s="396">
        <v>1750</v>
      </c>
      <c r="G6" s="200">
        <v>1750</v>
      </c>
      <c r="H6" s="398" t="s">
        <v>979</v>
      </c>
      <c r="I6" s="399">
        <f t="shared" si="0"/>
        <v>0</v>
      </c>
      <c r="N6" s="353" t="s">
        <v>971</v>
      </c>
      <c r="O6" t="s">
        <v>980</v>
      </c>
    </row>
    <row r="7" spans="1:15">
      <c r="A7" s="360" t="s">
        <v>477</v>
      </c>
      <c r="B7" s="360" t="s">
        <v>423</v>
      </c>
      <c r="C7" s="415">
        <v>6</v>
      </c>
      <c r="D7" s="361" t="s">
        <v>841</v>
      </c>
      <c r="E7" s="395">
        <v>0</v>
      </c>
      <c r="F7" s="396">
        <v>0</v>
      </c>
      <c r="G7" s="200">
        <v>0</v>
      </c>
      <c r="H7" s="398" t="s">
        <v>979</v>
      </c>
      <c r="I7" s="399">
        <f t="shared" si="0"/>
        <v>0</v>
      </c>
      <c r="N7" s="410" t="s">
        <v>1009</v>
      </c>
      <c r="O7" t="s">
        <v>981</v>
      </c>
    </row>
    <row r="8" spans="1:15">
      <c r="A8" s="360" t="s">
        <v>477</v>
      </c>
      <c r="B8" s="360" t="s">
        <v>423</v>
      </c>
      <c r="C8" s="415">
        <v>7</v>
      </c>
      <c r="D8" s="361" t="s">
        <v>912</v>
      </c>
      <c r="E8" s="395">
        <v>0</v>
      </c>
      <c r="F8" s="396">
        <v>0</v>
      </c>
      <c r="G8" s="200">
        <v>0</v>
      </c>
      <c r="H8" s="398" t="s">
        <v>979</v>
      </c>
      <c r="I8" s="399">
        <f t="shared" si="0"/>
        <v>0</v>
      </c>
      <c r="N8" s="353" t="s">
        <v>972</v>
      </c>
      <c r="O8" t="s">
        <v>982</v>
      </c>
    </row>
    <row r="9" spans="1:15">
      <c r="A9" s="360" t="s">
        <v>477</v>
      </c>
      <c r="B9" s="360" t="s">
        <v>423</v>
      </c>
      <c r="C9" s="415">
        <v>8</v>
      </c>
      <c r="D9" s="361" t="s">
        <v>913</v>
      </c>
      <c r="E9" s="395">
        <v>900</v>
      </c>
      <c r="F9" s="396">
        <v>900</v>
      </c>
      <c r="G9" s="200">
        <v>900</v>
      </c>
      <c r="H9" s="398" t="s">
        <v>979</v>
      </c>
      <c r="I9" s="399">
        <f t="shared" si="0"/>
        <v>0</v>
      </c>
      <c r="N9" s="353" t="s">
        <v>973</v>
      </c>
    </row>
    <row r="10" spans="1:15">
      <c r="A10" s="360" t="s">
        <v>477</v>
      </c>
      <c r="B10" s="360" t="s">
        <v>423</v>
      </c>
      <c r="C10" s="415">
        <v>9</v>
      </c>
      <c r="D10" s="361" t="s">
        <v>842</v>
      </c>
      <c r="E10" s="395">
        <v>1750</v>
      </c>
      <c r="F10" s="396">
        <v>1750</v>
      </c>
      <c r="G10" s="200">
        <v>1750</v>
      </c>
      <c r="H10" s="398" t="s">
        <v>979</v>
      </c>
      <c r="I10" s="399">
        <f t="shared" si="0"/>
        <v>0</v>
      </c>
      <c r="N10" s="353" t="s">
        <v>974</v>
      </c>
    </row>
    <row r="11" spans="1:15">
      <c r="A11" s="360" t="s">
        <v>477</v>
      </c>
      <c r="B11" s="360" t="s">
        <v>423</v>
      </c>
      <c r="C11" s="415">
        <v>10</v>
      </c>
      <c r="D11" s="361" t="s">
        <v>914</v>
      </c>
      <c r="E11" s="395">
        <v>1750</v>
      </c>
      <c r="F11" s="396">
        <v>1750</v>
      </c>
      <c r="G11" s="200">
        <v>1750</v>
      </c>
      <c r="H11" s="398" t="s">
        <v>979</v>
      </c>
      <c r="I11" s="399">
        <f t="shared" si="0"/>
        <v>0</v>
      </c>
    </row>
    <row r="12" spans="1:15">
      <c r="A12" s="360" t="s">
        <v>477</v>
      </c>
      <c r="B12" s="360" t="s">
        <v>423</v>
      </c>
      <c r="C12" s="415">
        <v>12</v>
      </c>
      <c r="D12" s="361" t="s">
        <v>844</v>
      </c>
      <c r="E12" s="395">
        <v>900</v>
      </c>
      <c r="F12" s="396">
        <v>900</v>
      </c>
      <c r="G12" s="200">
        <v>900</v>
      </c>
      <c r="H12" s="398" t="s">
        <v>979</v>
      </c>
      <c r="I12" s="399">
        <f t="shared" si="0"/>
        <v>0</v>
      </c>
    </row>
    <row r="13" spans="1:15">
      <c r="A13" s="360" t="s">
        <v>477</v>
      </c>
      <c r="B13" s="360" t="s">
        <v>423</v>
      </c>
      <c r="C13" s="415">
        <v>13</v>
      </c>
      <c r="D13" s="361" t="s">
        <v>915</v>
      </c>
      <c r="E13" s="395">
        <v>1750</v>
      </c>
      <c r="F13" s="396">
        <v>1750</v>
      </c>
      <c r="G13" s="200">
        <v>1750</v>
      </c>
      <c r="H13" s="398" t="s">
        <v>979</v>
      </c>
      <c r="I13" s="399">
        <f t="shared" si="0"/>
        <v>0</v>
      </c>
    </row>
    <row r="14" spans="1:15">
      <c r="A14" s="360" t="s">
        <v>477</v>
      </c>
      <c r="B14" s="360" t="s">
        <v>423</v>
      </c>
      <c r="C14" s="415">
        <v>14</v>
      </c>
      <c r="D14" s="361" t="s">
        <v>845</v>
      </c>
      <c r="E14" s="395">
        <v>900</v>
      </c>
      <c r="F14" s="396">
        <v>900</v>
      </c>
      <c r="G14" s="200">
        <v>900</v>
      </c>
      <c r="H14" s="398" t="s">
        <v>979</v>
      </c>
      <c r="I14" s="399">
        <f t="shared" si="0"/>
        <v>0</v>
      </c>
    </row>
    <row r="15" spans="1:15">
      <c r="A15" s="360" t="s">
        <v>477</v>
      </c>
      <c r="B15" s="360" t="s">
        <v>423</v>
      </c>
      <c r="C15" s="415">
        <v>15</v>
      </c>
      <c r="D15" s="361" t="s">
        <v>916</v>
      </c>
      <c r="E15" s="395">
        <v>1750</v>
      </c>
      <c r="F15" s="396">
        <v>1750</v>
      </c>
      <c r="G15" s="200">
        <v>1750</v>
      </c>
      <c r="H15" s="398" t="s">
        <v>979</v>
      </c>
      <c r="I15" s="399">
        <f t="shared" si="0"/>
        <v>0</v>
      </c>
    </row>
    <row r="16" spans="1:15">
      <c r="A16" s="360" t="s">
        <v>477</v>
      </c>
      <c r="B16" s="360" t="s">
        <v>423</v>
      </c>
      <c r="C16" s="415">
        <v>16</v>
      </c>
      <c r="D16" s="361" t="s">
        <v>846</v>
      </c>
      <c r="E16" s="395">
        <v>1750</v>
      </c>
      <c r="F16" s="396">
        <v>1750</v>
      </c>
      <c r="G16" s="200">
        <v>1750</v>
      </c>
      <c r="H16" s="398" t="s">
        <v>979</v>
      </c>
      <c r="I16" s="399">
        <f t="shared" si="0"/>
        <v>0</v>
      </c>
    </row>
    <row r="17" spans="1:9">
      <c r="A17" s="360" t="s">
        <v>477</v>
      </c>
      <c r="B17" s="360" t="s">
        <v>423</v>
      </c>
      <c r="C17" s="415">
        <v>17</v>
      </c>
      <c r="D17" s="361" t="s">
        <v>917</v>
      </c>
      <c r="E17" s="395">
        <v>1750</v>
      </c>
      <c r="F17" s="396">
        <v>1750</v>
      </c>
      <c r="G17" s="200">
        <v>1750</v>
      </c>
      <c r="H17" s="398" t="s">
        <v>979</v>
      </c>
      <c r="I17" s="399">
        <f t="shared" si="0"/>
        <v>0</v>
      </c>
    </row>
    <row r="18" spans="1:9">
      <c r="A18" s="360" t="s">
        <v>477</v>
      </c>
      <c r="B18" s="360" t="s">
        <v>423</v>
      </c>
      <c r="C18" s="415">
        <v>18</v>
      </c>
      <c r="D18" s="361" t="s">
        <v>308</v>
      </c>
      <c r="E18" s="395">
        <v>1750</v>
      </c>
      <c r="F18" s="396">
        <v>1750</v>
      </c>
      <c r="G18" s="200">
        <v>1750</v>
      </c>
      <c r="H18" s="398" t="s">
        <v>979</v>
      </c>
      <c r="I18" s="399">
        <f t="shared" si="0"/>
        <v>0</v>
      </c>
    </row>
    <row r="19" spans="1:9">
      <c r="A19" s="360" t="s">
        <v>477</v>
      </c>
      <c r="B19" s="360" t="s">
        <v>423</v>
      </c>
      <c r="C19" s="415">
        <v>19</v>
      </c>
      <c r="D19" s="361" t="s">
        <v>918</v>
      </c>
      <c r="E19" s="395">
        <v>900</v>
      </c>
      <c r="F19" s="396">
        <v>900</v>
      </c>
      <c r="G19" s="200">
        <v>900</v>
      </c>
      <c r="H19" s="398" t="s">
        <v>979</v>
      </c>
      <c r="I19" s="399">
        <f t="shared" si="0"/>
        <v>0</v>
      </c>
    </row>
    <row r="20" spans="1:9">
      <c r="A20" s="360" t="s">
        <v>477</v>
      </c>
      <c r="B20" s="360" t="s">
        <v>423</v>
      </c>
      <c r="C20" s="415">
        <v>20</v>
      </c>
      <c r="D20" s="361" t="s">
        <v>847</v>
      </c>
      <c r="E20" s="395">
        <v>1750</v>
      </c>
      <c r="F20" s="396">
        <v>1750</v>
      </c>
      <c r="G20" s="200">
        <v>1750</v>
      </c>
      <c r="H20" s="398" t="s">
        <v>979</v>
      </c>
      <c r="I20" s="399">
        <f t="shared" si="0"/>
        <v>0</v>
      </c>
    </row>
    <row r="21" spans="1:9">
      <c r="A21" s="360" t="s">
        <v>477</v>
      </c>
      <c r="B21" s="360" t="s">
        <v>423</v>
      </c>
      <c r="C21" s="415">
        <v>21</v>
      </c>
      <c r="D21" s="361" t="s">
        <v>919</v>
      </c>
      <c r="E21" s="395">
        <v>1750</v>
      </c>
      <c r="F21" s="396">
        <v>1750</v>
      </c>
      <c r="G21" s="200">
        <v>1750</v>
      </c>
      <c r="H21" s="398" t="s">
        <v>979</v>
      </c>
      <c r="I21" s="399">
        <f t="shared" si="0"/>
        <v>0</v>
      </c>
    </row>
    <row r="22" spans="1:9">
      <c r="A22" s="360" t="s">
        <v>477</v>
      </c>
      <c r="B22" s="360" t="s">
        <v>423</v>
      </c>
      <c r="C22" s="415">
        <v>22</v>
      </c>
      <c r="D22" s="361" t="s">
        <v>920</v>
      </c>
      <c r="E22" s="395">
        <v>1750</v>
      </c>
      <c r="F22" s="396">
        <v>1750</v>
      </c>
      <c r="G22" s="200">
        <v>1750</v>
      </c>
      <c r="H22" s="398" t="s">
        <v>979</v>
      </c>
      <c r="I22" s="399">
        <f t="shared" si="0"/>
        <v>0</v>
      </c>
    </row>
    <row r="23" spans="1:9">
      <c r="A23" s="360" t="s">
        <v>477</v>
      </c>
      <c r="B23" s="360" t="s">
        <v>423</v>
      </c>
      <c r="C23" s="415">
        <v>23</v>
      </c>
      <c r="D23" s="361" t="s">
        <v>865</v>
      </c>
      <c r="E23" s="395">
        <v>0</v>
      </c>
      <c r="F23" s="396">
        <v>0</v>
      </c>
      <c r="G23" s="200">
        <v>0</v>
      </c>
      <c r="H23" s="398" t="s">
        <v>979</v>
      </c>
      <c r="I23" s="399">
        <f t="shared" si="0"/>
        <v>0</v>
      </c>
    </row>
    <row r="24" spans="1:9">
      <c r="A24" s="360" t="s">
        <v>477</v>
      </c>
      <c r="B24" s="360" t="s">
        <v>423</v>
      </c>
      <c r="C24" s="415">
        <v>24</v>
      </c>
      <c r="D24" s="361" t="s">
        <v>921</v>
      </c>
      <c r="E24" s="395">
        <v>0</v>
      </c>
      <c r="F24" s="396">
        <v>0</v>
      </c>
      <c r="G24" s="200">
        <v>0</v>
      </c>
      <c r="H24" s="398" t="s">
        <v>979</v>
      </c>
      <c r="I24" s="399">
        <f t="shared" si="0"/>
        <v>0</v>
      </c>
    </row>
    <row r="25" spans="1:9">
      <c r="A25" s="360" t="s">
        <v>477</v>
      </c>
      <c r="B25" s="360" t="s">
        <v>423</v>
      </c>
      <c r="C25" s="415">
        <v>25</v>
      </c>
      <c r="D25" s="361" t="s">
        <v>866</v>
      </c>
      <c r="E25" s="395">
        <v>0</v>
      </c>
      <c r="F25" s="396">
        <v>0</v>
      </c>
      <c r="G25" s="200">
        <v>0</v>
      </c>
      <c r="H25" s="398" t="s">
        <v>979</v>
      </c>
      <c r="I25" s="399">
        <f t="shared" si="0"/>
        <v>0</v>
      </c>
    </row>
    <row r="26" spans="1:9">
      <c r="A26" s="360" t="s">
        <v>477</v>
      </c>
      <c r="B26" s="360" t="s">
        <v>423</v>
      </c>
      <c r="C26" s="415">
        <v>26</v>
      </c>
      <c r="D26" s="361" t="s">
        <v>867</v>
      </c>
      <c r="E26" s="395">
        <v>900</v>
      </c>
      <c r="F26" s="396">
        <v>900</v>
      </c>
      <c r="G26" s="200">
        <v>900</v>
      </c>
      <c r="H26" s="398" t="s">
        <v>979</v>
      </c>
      <c r="I26" s="399">
        <f t="shared" si="0"/>
        <v>0</v>
      </c>
    </row>
    <row r="27" spans="1:9">
      <c r="A27" s="360" t="s">
        <v>477</v>
      </c>
      <c r="B27" s="360" t="s">
        <v>423</v>
      </c>
      <c r="C27" s="415">
        <v>27</v>
      </c>
      <c r="D27" s="361" t="s">
        <v>882</v>
      </c>
      <c r="E27" s="395">
        <v>1750</v>
      </c>
      <c r="F27" s="396">
        <v>1750</v>
      </c>
      <c r="G27" s="200">
        <v>1750</v>
      </c>
      <c r="H27" s="398" t="s">
        <v>979</v>
      </c>
      <c r="I27" s="399">
        <f t="shared" si="0"/>
        <v>0</v>
      </c>
    </row>
    <row r="28" spans="1:9">
      <c r="A28" s="360" t="s">
        <v>477</v>
      </c>
      <c r="B28" s="360" t="s">
        <v>423</v>
      </c>
      <c r="C28" s="415">
        <v>28</v>
      </c>
      <c r="D28" s="361" t="s">
        <v>883</v>
      </c>
      <c r="E28" s="395">
        <v>1750</v>
      </c>
      <c r="F28" s="396">
        <v>1750</v>
      </c>
      <c r="G28" s="200">
        <v>1750</v>
      </c>
      <c r="H28" s="398" t="s">
        <v>979</v>
      </c>
      <c r="I28" s="399">
        <f t="shared" si="0"/>
        <v>0</v>
      </c>
    </row>
    <row r="29" spans="1:9">
      <c r="A29" s="360" t="s">
        <v>477</v>
      </c>
      <c r="B29" s="360" t="s">
        <v>423</v>
      </c>
      <c r="C29" s="415">
        <v>29</v>
      </c>
      <c r="D29" s="354" t="s">
        <v>864</v>
      </c>
      <c r="E29" s="395">
        <v>900</v>
      </c>
      <c r="F29" s="396">
        <v>900</v>
      </c>
      <c r="G29" s="200">
        <v>900</v>
      </c>
      <c r="H29" s="398" t="s">
        <v>979</v>
      </c>
      <c r="I29" s="399">
        <f t="shared" si="0"/>
        <v>0</v>
      </c>
    </row>
    <row r="30" spans="1:9">
      <c r="A30" s="360" t="s">
        <v>477</v>
      </c>
      <c r="B30" s="360" t="s">
        <v>423</v>
      </c>
      <c r="C30" s="415">
        <v>30</v>
      </c>
      <c r="D30" s="354" t="s">
        <v>884</v>
      </c>
      <c r="E30" s="395">
        <v>900</v>
      </c>
      <c r="F30" s="396">
        <v>900</v>
      </c>
      <c r="G30" s="200">
        <v>900</v>
      </c>
      <c r="H30" s="398" t="s">
        <v>979</v>
      </c>
      <c r="I30" s="399">
        <f t="shared" si="0"/>
        <v>0</v>
      </c>
    </row>
    <row r="31" spans="1:9">
      <c r="A31" s="360" t="s">
        <v>477</v>
      </c>
      <c r="B31" s="360" t="s">
        <v>423</v>
      </c>
      <c r="C31" s="415">
        <v>31</v>
      </c>
      <c r="D31" s="354" t="s">
        <v>885</v>
      </c>
      <c r="E31" s="395">
        <v>900</v>
      </c>
      <c r="F31" s="396">
        <v>900</v>
      </c>
      <c r="G31" s="200">
        <v>900</v>
      </c>
      <c r="H31" s="398" t="s">
        <v>979</v>
      </c>
      <c r="I31" s="399">
        <f t="shared" si="0"/>
        <v>0</v>
      </c>
    </row>
    <row r="32" spans="1:9">
      <c r="A32" s="360" t="s">
        <v>477</v>
      </c>
      <c r="B32" s="360" t="s">
        <v>423</v>
      </c>
      <c r="C32" s="415">
        <v>32</v>
      </c>
      <c r="D32" s="354" t="s">
        <v>947</v>
      </c>
      <c r="E32" s="395">
        <v>1750</v>
      </c>
      <c r="F32" s="396">
        <v>1750</v>
      </c>
      <c r="H32" s="398" t="s">
        <v>979</v>
      </c>
      <c r="I32" s="399">
        <f t="shared" si="0"/>
        <v>1750</v>
      </c>
    </row>
    <row r="33" spans="1:9">
      <c r="A33" s="455" t="s">
        <v>477</v>
      </c>
      <c r="B33" s="455" t="s">
        <v>424</v>
      </c>
      <c r="C33" s="456">
        <v>1</v>
      </c>
      <c r="D33" s="457" t="s">
        <v>636</v>
      </c>
      <c r="E33" s="461">
        <v>900</v>
      </c>
      <c r="F33" s="462">
        <v>900</v>
      </c>
      <c r="G33" s="446">
        <v>900</v>
      </c>
      <c r="H33" s="398" t="s">
        <v>979</v>
      </c>
      <c r="I33" s="399">
        <f t="shared" si="0"/>
        <v>0</v>
      </c>
    </row>
    <row r="34" spans="1:9">
      <c r="A34" s="360" t="s">
        <v>477</v>
      </c>
      <c r="B34" s="360" t="s">
        <v>424</v>
      </c>
      <c r="C34" s="415">
        <v>2</v>
      </c>
      <c r="D34" s="354" t="s">
        <v>637</v>
      </c>
      <c r="E34" s="395">
        <v>900</v>
      </c>
      <c r="F34" s="397">
        <v>900</v>
      </c>
      <c r="G34" s="447">
        <v>900</v>
      </c>
      <c r="H34" s="398" t="s">
        <v>979</v>
      </c>
      <c r="I34" s="399">
        <f t="shared" si="0"/>
        <v>0</v>
      </c>
    </row>
    <row r="35" spans="1:9">
      <c r="A35" s="360" t="s">
        <v>477</v>
      </c>
      <c r="B35" s="360" t="s">
        <v>424</v>
      </c>
      <c r="C35" s="415">
        <v>3</v>
      </c>
      <c r="D35" s="354" t="s">
        <v>638</v>
      </c>
      <c r="E35" s="395">
        <v>1750</v>
      </c>
      <c r="F35" s="397">
        <v>1750</v>
      </c>
      <c r="G35" s="447">
        <v>1750</v>
      </c>
      <c r="H35" s="398" t="s">
        <v>979</v>
      </c>
      <c r="I35" s="399">
        <f t="shared" si="0"/>
        <v>0</v>
      </c>
    </row>
    <row r="36" spans="1:9">
      <c r="A36" s="360" t="s">
        <v>477</v>
      </c>
      <c r="B36" s="360" t="s">
        <v>424</v>
      </c>
      <c r="C36" s="415">
        <v>4</v>
      </c>
      <c r="D36" s="354" t="s">
        <v>639</v>
      </c>
      <c r="E36" s="395">
        <v>1750</v>
      </c>
      <c r="F36" s="397">
        <v>1750</v>
      </c>
      <c r="G36" s="447">
        <v>1750</v>
      </c>
      <c r="H36" s="398" t="s">
        <v>979</v>
      </c>
      <c r="I36" s="399">
        <f t="shared" si="0"/>
        <v>0</v>
      </c>
    </row>
    <row r="37" spans="1:9">
      <c r="A37" s="360" t="s">
        <v>477</v>
      </c>
      <c r="B37" s="360" t="s">
        <v>424</v>
      </c>
      <c r="C37" s="415">
        <v>5</v>
      </c>
      <c r="D37" s="354" t="s">
        <v>640</v>
      </c>
      <c r="E37" s="395">
        <v>900</v>
      </c>
      <c r="F37" s="397">
        <v>900</v>
      </c>
      <c r="G37" s="447">
        <v>900</v>
      </c>
      <c r="H37" s="398" t="s">
        <v>979</v>
      </c>
      <c r="I37" s="399">
        <f t="shared" si="0"/>
        <v>0</v>
      </c>
    </row>
    <row r="38" spans="1:9">
      <c r="A38" s="360" t="s">
        <v>477</v>
      </c>
      <c r="B38" s="360" t="s">
        <v>424</v>
      </c>
      <c r="C38" s="415">
        <v>6</v>
      </c>
      <c r="D38" s="354" t="s">
        <v>806</v>
      </c>
      <c r="E38" s="395">
        <v>1750</v>
      </c>
      <c r="F38" s="397">
        <v>1750</v>
      </c>
      <c r="G38" s="447">
        <v>1750</v>
      </c>
      <c r="H38" s="398" t="s">
        <v>979</v>
      </c>
      <c r="I38" s="399">
        <f t="shared" si="0"/>
        <v>0</v>
      </c>
    </row>
    <row r="39" spans="1:9">
      <c r="A39" s="360" t="s">
        <v>477</v>
      </c>
      <c r="B39" s="360" t="s">
        <v>424</v>
      </c>
      <c r="C39" s="415">
        <v>7</v>
      </c>
      <c r="D39" s="354" t="s">
        <v>641</v>
      </c>
      <c r="E39" s="395">
        <v>900</v>
      </c>
      <c r="F39" s="397">
        <v>900</v>
      </c>
      <c r="G39" s="447">
        <v>900</v>
      </c>
      <c r="H39" s="398" t="s">
        <v>979</v>
      </c>
      <c r="I39" s="399">
        <f t="shared" si="0"/>
        <v>0</v>
      </c>
    </row>
    <row r="40" spans="1:9">
      <c r="A40" s="360" t="s">
        <v>477</v>
      </c>
      <c r="B40" s="360" t="s">
        <v>424</v>
      </c>
      <c r="C40" s="415">
        <v>8</v>
      </c>
      <c r="D40" s="354" t="s">
        <v>642</v>
      </c>
      <c r="E40" s="395">
        <v>1750</v>
      </c>
      <c r="F40" s="397">
        <v>1750</v>
      </c>
      <c r="G40" s="448">
        <v>1750</v>
      </c>
      <c r="H40" s="398" t="s">
        <v>979</v>
      </c>
      <c r="I40" s="399">
        <f t="shared" si="0"/>
        <v>0</v>
      </c>
    </row>
    <row r="41" spans="1:9">
      <c r="A41" s="360" t="s">
        <v>477</v>
      </c>
      <c r="B41" s="360" t="s">
        <v>424</v>
      </c>
      <c r="C41" s="415">
        <v>9</v>
      </c>
      <c r="D41" s="354" t="s">
        <v>643</v>
      </c>
      <c r="E41" s="395">
        <v>900</v>
      </c>
      <c r="F41" s="397">
        <v>900</v>
      </c>
      <c r="G41" s="447">
        <v>900</v>
      </c>
      <c r="H41" s="398" t="s">
        <v>979</v>
      </c>
      <c r="I41" s="399">
        <f t="shared" si="0"/>
        <v>0</v>
      </c>
    </row>
    <row r="42" spans="1:9">
      <c r="A42" s="360" t="s">
        <v>477</v>
      </c>
      <c r="B42" s="360" t="s">
        <v>424</v>
      </c>
      <c r="C42" s="415">
        <v>10</v>
      </c>
      <c r="D42" s="354" t="s">
        <v>644</v>
      </c>
      <c r="E42" s="395">
        <v>1750</v>
      </c>
      <c r="F42" s="397">
        <v>1750</v>
      </c>
      <c r="G42" s="447">
        <v>1750</v>
      </c>
      <c r="H42" s="398" t="s">
        <v>979</v>
      </c>
      <c r="I42" s="399">
        <f t="shared" si="0"/>
        <v>0</v>
      </c>
    </row>
    <row r="43" spans="1:9">
      <c r="A43" s="360" t="s">
        <v>477</v>
      </c>
      <c r="B43" s="360" t="s">
        <v>424</v>
      </c>
      <c r="C43" s="415">
        <v>11</v>
      </c>
      <c r="D43" s="354" t="s">
        <v>645</v>
      </c>
      <c r="E43" s="395">
        <v>1750</v>
      </c>
      <c r="F43" s="397">
        <v>1750</v>
      </c>
      <c r="G43" s="447">
        <v>1750</v>
      </c>
      <c r="H43" s="398" t="s">
        <v>979</v>
      </c>
      <c r="I43" s="399">
        <f t="shared" si="0"/>
        <v>0</v>
      </c>
    </row>
    <row r="44" spans="1:9">
      <c r="A44" s="360" t="s">
        <v>477</v>
      </c>
      <c r="B44" s="360" t="s">
        <v>424</v>
      </c>
      <c r="C44" s="415">
        <v>12</v>
      </c>
      <c r="D44" s="354" t="s">
        <v>646</v>
      </c>
      <c r="E44" s="395">
        <v>1750</v>
      </c>
      <c r="F44" s="397">
        <v>1750</v>
      </c>
      <c r="G44" s="447">
        <v>1750</v>
      </c>
      <c r="H44" s="398" t="s">
        <v>979</v>
      </c>
      <c r="I44" s="399">
        <f t="shared" si="0"/>
        <v>0</v>
      </c>
    </row>
    <row r="45" spans="1:9">
      <c r="A45" s="360" t="s">
        <v>477</v>
      </c>
      <c r="B45" s="360" t="s">
        <v>424</v>
      </c>
      <c r="C45" s="415">
        <v>13</v>
      </c>
      <c r="D45" s="354" t="s">
        <v>647</v>
      </c>
      <c r="E45" s="395">
        <v>1750</v>
      </c>
      <c r="F45" s="397">
        <v>1750</v>
      </c>
      <c r="G45" s="447">
        <v>1750</v>
      </c>
      <c r="H45" s="398" t="s">
        <v>979</v>
      </c>
      <c r="I45" s="399">
        <f t="shared" si="0"/>
        <v>0</v>
      </c>
    </row>
    <row r="46" spans="1:9">
      <c r="A46" s="360" t="s">
        <v>477</v>
      </c>
      <c r="B46" s="360" t="s">
        <v>424</v>
      </c>
      <c r="C46" s="415">
        <v>14</v>
      </c>
      <c r="D46" s="354" t="s">
        <v>648</v>
      </c>
      <c r="E46" s="395">
        <v>1750</v>
      </c>
      <c r="F46" s="397">
        <v>1750</v>
      </c>
      <c r="G46" s="447">
        <v>1750</v>
      </c>
      <c r="H46" s="398" t="s">
        <v>979</v>
      </c>
      <c r="I46" s="399">
        <f t="shared" si="0"/>
        <v>0</v>
      </c>
    </row>
    <row r="47" spans="1:9">
      <c r="A47" s="360" t="s">
        <v>477</v>
      </c>
      <c r="B47" s="360" t="s">
        <v>424</v>
      </c>
      <c r="C47" s="415">
        <v>15</v>
      </c>
      <c r="D47" s="354" t="s">
        <v>649</v>
      </c>
      <c r="E47" s="395">
        <v>900</v>
      </c>
      <c r="F47" s="397">
        <v>900</v>
      </c>
      <c r="G47" s="447">
        <v>900</v>
      </c>
      <c r="H47" s="398" t="s">
        <v>979</v>
      </c>
      <c r="I47" s="399">
        <f t="shared" si="0"/>
        <v>0</v>
      </c>
    </row>
    <row r="48" spans="1:9">
      <c r="A48" s="360" t="s">
        <v>477</v>
      </c>
      <c r="B48" s="360" t="s">
        <v>424</v>
      </c>
      <c r="C48" s="415">
        <v>16</v>
      </c>
      <c r="D48" s="354" t="s">
        <v>1025</v>
      </c>
      <c r="E48" s="395">
        <v>1750</v>
      </c>
      <c r="F48" s="397">
        <v>1750</v>
      </c>
      <c r="G48" s="447">
        <v>1750</v>
      </c>
      <c r="H48" s="398" t="s">
        <v>979</v>
      </c>
      <c r="I48" s="399">
        <f t="shared" si="0"/>
        <v>0</v>
      </c>
    </row>
    <row r="49" spans="1:12">
      <c r="A49" s="360" t="s">
        <v>477</v>
      </c>
      <c r="B49" s="360" t="s">
        <v>424</v>
      </c>
      <c r="C49" s="415">
        <v>17</v>
      </c>
      <c r="D49" s="354" t="s">
        <v>651</v>
      </c>
      <c r="E49" s="395">
        <v>1750</v>
      </c>
      <c r="F49" s="397">
        <v>1750</v>
      </c>
      <c r="G49" s="447">
        <v>1750</v>
      </c>
      <c r="H49" s="398" t="s">
        <v>979</v>
      </c>
      <c r="I49" s="399">
        <f t="shared" si="0"/>
        <v>0</v>
      </c>
    </row>
    <row r="50" spans="1:12">
      <c r="A50" s="360" t="s">
        <v>477</v>
      </c>
      <c r="B50" s="360" t="s">
        <v>424</v>
      </c>
      <c r="C50" s="415">
        <v>18</v>
      </c>
      <c r="D50" s="354" t="s">
        <v>652</v>
      </c>
      <c r="E50" s="395">
        <v>900</v>
      </c>
      <c r="F50" s="397">
        <v>900</v>
      </c>
      <c r="G50" s="447">
        <v>900</v>
      </c>
      <c r="H50" s="398" t="s">
        <v>979</v>
      </c>
      <c r="I50" s="399">
        <f t="shared" si="0"/>
        <v>0</v>
      </c>
    </row>
    <row r="51" spans="1:12">
      <c r="A51" s="360" t="s">
        <v>477</v>
      </c>
      <c r="B51" s="360" t="s">
        <v>424</v>
      </c>
      <c r="C51" s="415">
        <v>19</v>
      </c>
      <c r="D51" s="354" t="s">
        <v>653</v>
      </c>
      <c r="E51" s="395">
        <v>1750</v>
      </c>
      <c r="F51" s="397">
        <v>1750</v>
      </c>
      <c r="G51" s="447">
        <v>1750</v>
      </c>
      <c r="H51" s="398" t="s">
        <v>979</v>
      </c>
      <c r="I51" s="399">
        <f t="shared" si="0"/>
        <v>0</v>
      </c>
    </row>
    <row r="52" spans="1:12">
      <c r="A52" s="360" t="s">
        <v>477</v>
      </c>
      <c r="B52" s="360" t="s">
        <v>424</v>
      </c>
      <c r="C52" s="415">
        <v>20</v>
      </c>
      <c r="D52" s="354" t="s">
        <v>877</v>
      </c>
      <c r="E52" s="395">
        <v>900</v>
      </c>
      <c r="F52" s="397">
        <v>900</v>
      </c>
      <c r="G52" s="447">
        <v>900</v>
      </c>
      <c r="H52" s="398" t="s">
        <v>979</v>
      </c>
      <c r="I52" s="399">
        <f t="shared" si="0"/>
        <v>0</v>
      </c>
    </row>
    <row r="53" spans="1:12">
      <c r="A53" s="360" t="s">
        <v>477</v>
      </c>
      <c r="B53" s="360" t="s">
        <v>424</v>
      </c>
      <c r="C53" s="415">
        <v>21</v>
      </c>
      <c r="D53" s="354" t="s">
        <v>654</v>
      </c>
      <c r="E53" s="395">
        <v>1750</v>
      </c>
      <c r="F53" s="397">
        <v>1750</v>
      </c>
      <c r="G53" s="447">
        <v>1750</v>
      </c>
      <c r="H53" s="398" t="s">
        <v>979</v>
      </c>
      <c r="I53" s="399">
        <f t="shared" si="0"/>
        <v>0</v>
      </c>
    </row>
    <row r="54" spans="1:12">
      <c r="A54" s="360" t="s">
        <v>477</v>
      </c>
      <c r="B54" s="360" t="s">
        <v>424</v>
      </c>
      <c r="C54" s="415">
        <v>22</v>
      </c>
      <c r="D54" s="354" t="s">
        <v>886</v>
      </c>
      <c r="E54" s="395">
        <v>1750</v>
      </c>
      <c r="F54" s="397">
        <v>1750</v>
      </c>
      <c r="G54" s="447">
        <v>1750</v>
      </c>
      <c r="H54" s="398" t="s">
        <v>979</v>
      </c>
      <c r="I54" s="399">
        <f t="shared" si="0"/>
        <v>0</v>
      </c>
    </row>
    <row r="55" spans="1:12">
      <c r="A55" s="360" t="s">
        <v>477</v>
      </c>
      <c r="B55" s="360" t="s">
        <v>424</v>
      </c>
      <c r="C55" s="415">
        <v>23</v>
      </c>
      <c r="D55" s="354" t="s">
        <v>315</v>
      </c>
      <c r="E55" s="395">
        <v>900</v>
      </c>
      <c r="F55" s="397">
        <v>900</v>
      </c>
      <c r="G55" s="449">
        <v>900</v>
      </c>
      <c r="H55" s="398" t="s">
        <v>979</v>
      </c>
      <c r="I55" s="399">
        <f t="shared" si="0"/>
        <v>0</v>
      </c>
    </row>
    <row r="56" spans="1:12">
      <c r="A56" s="360" t="s">
        <v>477</v>
      </c>
      <c r="B56" s="360" t="s">
        <v>424</v>
      </c>
      <c r="C56" s="415">
        <v>25</v>
      </c>
      <c r="D56" s="354" t="s">
        <v>98</v>
      </c>
      <c r="E56" s="395">
        <v>0</v>
      </c>
      <c r="F56" s="397">
        <v>0</v>
      </c>
      <c r="G56" s="447">
        <v>0</v>
      </c>
      <c r="H56" s="398" t="s">
        <v>979</v>
      </c>
      <c r="I56" s="399">
        <f t="shared" si="0"/>
        <v>0</v>
      </c>
    </row>
    <row r="57" spans="1:12">
      <c r="A57" s="360" t="s">
        <v>477</v>
      </c>
      <c r="B57" s="360" t="s">
        <v>424</v>
      </c>
      <c r="C57" s="415">
        <v>26</v>
      </c>
      <c r="D57" s="354" t="s">
        <v>724</v>
      </c>
      <c r="E57" s="395">
        <v>1750</v>
      </c>
      <c r="F57" s="397">
        <v>1750</v>
      </c>
      <c r="G57" s="449">
        <v>1750</v>
      </c>
      <c r="H57" s="398" t="s">
        <v>979</v>
      </c>
      <c r="I57" s="399">
        <f t="shared" si="0"/>
        <v>0</v>
      </c>
    </row>
    <row r="58" spans="1:12">
      <c r="A58" s="360" t="s">
        <v>477</v>
      </c>
      <c r="B58" s="360" t="s">
        <v>424</v>
      </c>
      <c r="C58" s="415">
        <v>27</v>
      </c>
      <c r="D58" s="354" t="s">
        <v>725</v>
      </c>
      <c r="E58" s="395">
        <v>1750</v>
      </c>
      <c r="F58" s="397">
        <v>1750</v>
      </c>
      <c r="G58" s="449">
        <v>1750</v>
      </c>
      <c r="H58" s="398" t="s">
        <v>979</v>
      </c>
      <c r="I58" s="399">
        <f t="shared" si="0"/>
        <v>0</v>
      </c>
    </row>
    <row r="59" spans="1:12">
      <c r="A59" s="360" t="s">
        <v>477</v>
      </c>
      <c r="B59" s="360" t="s">
        <v>424</v>
      </c>
      <c r="C59" s="415">
        <v>28</v>
      </c>
      <c r="D59" s="354" t="s">
        <v>792</v>
      </c>
      <c r="E59" s="395">
        <v>1750</v>
      </c>
      <c r="F59" s="397">
        <v>1750</v>
      </c>
      <c r="G59" s="449">
        <v>1750</v>
      </c>
      <c r="H59" s="398" t="s">
        <v>979</v>
      </c>
      <c r="I59" s="399">
        <f t="shared" si="0"/>
        <v>0</v>
      </c>
    </row>
    <row r="60" spans="1:12">
      <c r="A60" s="360" t="s">
        <v>477</v>
      </c>
      <c r="B60" s="360" t="s">
        <v>424</v>
      </c>
      <c r="C60" s="415">
        <v>29</v>
      </c>
      <c r="D60" s="354" t="s">
        <v>638</v>
      </c>
      <c r="E60" s="395">
        <v>900</v>
      </c>
      <c r="F60" s="397">
        <v>900</v>
      </c>
      <c r="G60" s="447">
        <v>900</v>
      </c>
      <c r="H60" s="398" t="s">
        <v>979</v>
      </c>
      <c r="I60" s="399">
        <f t="shared" si="0"/>
        <v>0</v>
      </c>
    </row>
    <row r="61" spans="1:12">
      <c r="A61" s="360" t="s">
        <v>477</v>
      </c>
      <c r="B61" s="360" t="s">
        <v>424</v>
      </c>
      <c r="C61" s="415">
        <v>30</v>
      </c>
      <c r="D61" s="354" t="s">
        <v>823</v>
      </c>
      <c r="E61" s="395">
        <v>900</v>
      </c>
      <c r="F61" s="397">
        <v>900</v>
      </c>
      <c r="G61" s="447">
        <v>900</v>
      </c>
      <c r="H61" s="398" t="s">
        <v>979</v>
      </c>
      <c r="I61" s="399">
        <f t="shared" si="0"/>
        <v>0</v>
      </c>
    </row>
    <row r="62" spans="1:12">
      <c r="A62" s="360" t="s">
        <v>477</v>
      </c>
      <c r="B62" s="360" t="s">
        <v>424</v>
      </c>
      <c r="C62" s="415">
        <v>31</v>
      </c>
      <c r="D62" s="354" t="s">
        <v>824</v>
      </c>
      <c r="E62" s="395">
        <v>1750</v>
      </c>
      <c r="F62" s="397">
        <v>1750</v>
      </c>
      <c r="G62" s="447">
        <v>1750</v>
      </c>
      <c r="H62" s="398" t="s">
        <v>979</v>
      </c>
      <c r="I62" s="399">
        <f t="shared" si="0"/>
        <v>0</v>
      </c>
    </row>
    <row r="63" spans="1:12">
      <c r="A63" s="455" t="s">
        <v>477</v>
      </c>
      <c r="B63" s="455" t="s">
        <v>878</v>
      </c>
      <c r="C63" s="456">
        <v>1</v>
      </c>
      <c r="D63" s="457" t="s">
        <v>432</v>
      </c>
      <c r="E63" s="458">
        <v>900</v>
      </c>
      <c r="F63" s="461">
        <v>900</v>
      </c>
      <c r="G63" s="450">
        <v>900</v>
      </c>
      <c r="H63" s="398" t="s">
        <v>979</v>
      </c>
      <c r="I63" s="399">
        <f t="shared" si="0"/>
        <v>0</v>
      </c>
      <c r="K63" s="450"/>
      <c r="L63" s="465"/>
    </row>
    <row r="64" spans="1:12">
      <c r="A64" s="360" t="s">
        <v>477</v>
      </c>
      <c r="B64" s="360" t="s">
        <v>878</v>
      </c>
      <c r="C64" s="415">
        <v>2</v>
      </c>
      <c r="D64" s="354" t="s">
        <v>436</v>
      </c>
      <c r="E64" s="401">
        <v>900</v>
      </c>
      <c r="F64" s="395">
        <v>900</v>
      </c>
      <c r="G64" s="326">
        <v>900</v>
      </c>
      <c r="H64" s="398" t="s">
        <v>979</v>
      </c>
      <c r="I64" s="399">
        <f t="shared" si="0"/>
        <v>0</v>
      </c>
      <c r="K64" s="326"/>
      <c r="L64" s="354"/>
    </row>
    <row r="65" spans="1:12">
      <c r="A65" s="360" t="s">
        <v>477</v>
      </c>
      <c r="B65" s="360" t="s">
        <v>878</v>
      </c>
      <c r="C65" s="415">
        <v>3</v>
      </c>
      <c r="D65" s="354" t="s">
        <v>440</v>
      </c>
      <c r="E65" s="401">
        <v>1750</v>
      </c>
      <c r="F65" s="395">
        <v>1750</v>
      </c>
      <c r="G65" s="326">
        <v>1750</v>
      </c>
      <c r="H65" s="398" t="s">
        <v>979</v>
      </c>
      <c r="I65" s="399">
        <f t="shared" si="0"/>
        <v>0</v>
      </c>
      <c r="K65" s="326"/>
      <c r="L65" s="354"/>
    </row>
    <row r="66" spans="1:12">
      <c r="A66" s="360" t="s">
        <v>477</v>
      </c>
      <c r="B66" s="360" t="s">
        <v>878</v>
      </c>
      <c r="C66" s="415">
        <v>4</v>
      </c>
      <c r="D66" s="354" t="s">
        <v>443</v>
      </c>
      <c r="E66" s="401">
        <v>900</v>
      </c>
      <c r="F66" s="395">
        <v>900</v>
      </c>
      <c r="G66" s="326">
        <v>900</v>
      </c>
      <c r="H66" s="398" t="s">
        <v>979</v>
      </c>
      <c r="I66" s="399">
        <f t="shared" si="0"/>
        <v>0</v>
      </c>
      <c r="K66" s="326"/>
      <c r="L66" s="354"/>
    </row>
    <row r="67" spans="1:12">
      <c r="A67" s="360" t="s">
        <v>477</v>
      </c>
      <c r="B67" s="360" t="s">
        <v>878</v>
      </c>
      <c r="C67" s="415">
        <v>5</v>
      </c>
      <c r="D67" s="354" t="s">
        <v>326</v>
      </c>
      <c r="E67" s="401">
        <v>1750</v>
      </c>
      <c r="F67" s="395">
        <v>1750</v>
      </c>
      <c r="G67" s="326">
        <v>1750</v>
      </c>
      <c r="H67" s="398" t="s">
        <v>979</v>
      </c>
      <c r="I67" s="399">
        <f t="shared" ref="I67:I129" si="1">F67-G67</f>
        <v>0</v>
      </c>
      <c r="K67" s="326"/>
      <c r="L67" s="354"/>
    </row>
    <row r="68" spans="1:12">
      <c r="A68" s="360" t="s">
        <v>477</v>
      </c>
      <c r="B68" s="360" t="s">
        <v>878</v>
      </c>
      <c r="C68" s="415">
        <v>7</v>
      </c>
      <c r="D68" s="354" t="s">
        <v>448</v>
      </c>
      <c r="E68" s="401">
        <v>1750</v>
      </c>
      <c r="F68" s="395">
        <v>1750</v>
      </c>
      <c r="G68" s="326">
        <v>1750</v>
      </c>
      <c r="H68" s="398" t="s">
        <v>979</v>
      </c>
      <c r="I68" s="399">
        <f t="shared" si="1"/>
        <v>0</v>
      </c>
      <c r="K68" s="326"/>
      <c r="L68" s="354"/>
    </row>
    <row r="69" spans="1:12">
      <c r="A69" s="360" t="s">
        <v>477</v>
      </c>
      <c r="B69" s="360" t="s">
        <v>878</v>
      </c>
      <c r="C69" s="415">
        <v>8</v>
      </c>
      <c r="D69" s="354" t="s">
        <v>79</v>
      </c>
      <c r="E69" s="401">
        <v>900</v>
      </c>
      <c r="F69" s="395">
        <v>900</v>
      </c>
      <c r="G69" s="326">
        <v>900</v>
      </c>
      <c r="H69" s="398" t="s">
        <v>979</v>
      </c>
      <c r="I69" s="399">
        <f t="shared" si="1"/>
        <v>0</v>
      </c>
      <c r="K69" s="326"/>
      <c r="L69" s="354"/>
    </row>
    <row r="70" spans="1:12">
      <c r="A70" s="360" t="s">
        <v>477</v>
      </c>
      <c r="B70" s="360" t="s">
        <v>878</v>
      </c>
      <c r="C70" s="415">
        <v>10</v>
      </c>
      <c r="D70" s="354" t="s">
        <v>452</v>
      </c>
      <c r="E70" s="401">
        <v>0</v>
      </c>
      <c r="F70" s="395">
        <v>0</v>
      </c>
      <c r="G70" s="326">
        <v>0</v>
      </c>
      <c r="H70" s="398" t="s">
        <v>979</v>
      </c>
      <c r="I70" s="399">
        <f t="shared" si="1"/>
        <v>0</v>
      </c>
      <c r="K70" s="326"/>
      <c r="L70" s="354"/>
    </row>
    <row r="71" spans="1:12">
      <c r="A71" s="360" t="s">
        <v>477</v>
      </c>
      <c r="B71" s="360" t="s">
        <v>878</v>
      </c>
      <c r="C71" s="415">
        <v>11</v>
      </c>
      <c r="D71" s="354" t="s">
        <v>455</v>
      </c>
      <c r="E71" s="401">
        <v>1750</v>
      </c>
      <c r="F71" s="395">
        <v>1750</v>
      </c>
      <c r="G71" s="326">
        <v>1750</v>
      </c>
      <c r="H71" s="398" t="s">
        <v>979</v>
      </c>
      <c r="I71" s="399">
        <f t="shared" si="1"/>
        <v>0</v>
      </c>
      <c r="K71" s="326"/>
      <c r="L71" s="354"/>
    </row>
    <row r="72" spans="1:12">
      <c r="A72" s="360" t="s">
        <v>477</v>
      </c>
      <c r="B72" s="360" t="s">
        <v>878</v>
      </c>
      <c r="C72" s="415">
        <v>12</v>
      </c>
      <c r="D72" s="354" t="s">
        <v>464</v>
      </c>
      <c r="E72" s="401">
        <v>1750</v>
      </c>
      <c r="F72" s="395">
        <v>1750</v>
      </c>
      <c r="G72" s="326">
        <v>1750</v>
      </c>
      <c r="H72" s="398" t="s">
        <v>979</v>
      </c>
      <c r="I72" s="399">
        <f t="shared" si="1"/>
        <v>0</v>
      </c>
      <c r="K72" s="326"/>
      <c r="L72" s="354"/>
    </row>
    <row r="73" spans="1:12">
      <c r="A73" s="360" t="s">
        <v>477</v>
      </c>
      <c r="B73" s="360" t="s">
        <v>878</v>
      </c>
      <c r="C73" s="415">
        <v>13</v>
      </c>
      <c r="D73" s="354" t="s">
        <v>619</v>
      </c>
      <c r="E73" s="401">
        <v>900</v>
      </c>
      <c r="F73" s="395">
        <v>900</v>
      </c>
      <c r="G73" s="326">
        <v>900</v>
      </c>
      <c r="H73" s="398" t="s">
        <v>979</v>
      </c>
      <c r="I73" s="399">
        <f t="shared" si="1"/>
        <v>0</v>
      </c>
      <c r="K73" s="326"/>
      <c r="L73" s="354"/>
    </row>
    <row r="74" spans="1:12">
      <c r="A74" s="360" t="s">
        <v>477</v>
      </c>
      <c r="B74" s="360" t="s">
        <v>878</v>
      </c>
      <c r="C74" s="415">
        <v>14</v>
      </c>
      <c r="D74" s="354" t="s">
        <v>483</v>
      </c>
      <c r="E74" s="401">
        <v>1000</v>
      </c>
      <c r="F74" s="395">
        <v>1000</v>
      </c>
      <c r="G74" s="326">
        <v>1000</v>
      </c>
      <c r="H74" s="398" t="s">
        <v>979</v>
      </c>
      <c r="I74" s="399">
        <f t="shared" si="1"/>
        <v>0</v>
      </c>
      <c r="K74" s="200"/>
      <c r="L74" s="354"/>
    </row>
    <row r="75" spans="1:12">
      <c r="A75" s="360" t="s">
        <v>477</v>
      </c>
      <c r="B75" s="360" t="s">
        <v>878</v>
      </c>
      <c r="C75" s="415">
        <v>15</v>
      </c>
      <c r="D75" s="354" t="s">
        <v>513</v>
      </c>
      <c r="E75" s="401">
        <v>900</v>
      </c>
      <c r="F75" s="395">
        <v>900</v>
      </c>
      <c r="G75" s="200">
        <v>900</v>
      </c>
      <c r="H75" s="398" t="s">
        <v>979</v>
      </c>
      <c r="I75" s="399">
        <f t="shared" si="1"/>
        <v>0</v>
      </c>
      <c r="K75" s="200"/>
      <c r="L75" s="354"/>
    </row>
    <row r="76" spans="1:12">
      <c r="A76" s="360" t="s">
        <v>477</v>
      </c>
      <c r="B76" s="360" t="s">
        <v>878</v>
      </c>
      <c r="C76" s="415">
        <v>16</v>
      </c>
      <c r="D76" s="354" t="s">
        <v>514</v>
      </c>
      <c r="E76" s="401">
        <v>900</v>
      </c>
      <c r="F76" s="395">
        <v>900</v>
      </c>
      <c r="G76" s="200">
        <v>900</v>
      </c>
      <c r="H76" s="398" t="s">
        <v>979</v>
      </c>
      <c r="I76" s="399">
        <f t="shared" si="1"/>
        <v>0</v>
      </c>
      <c r="K76" s="200"/>
      <c r="L76" s="354"/>
    </row>
    <row r="77" spans="1:12">
      <c r="A77" s="360" t="s">
        <v>477</v>
      </c>
      <c r="B77" s="360" t="s">
        <v>878</v>
      </c>
      <c r="C77" s="415">
        <v>17</v>
      </c>
      <c r="D77" s="354" t="s">
        <v>519</v>
      </c>
      <c r="E77" s="401">
        <v>1750</v>
      </c>
      <c r="F77" s="395">
        <v>1750</v>
      </c>
      <c r="G77" s="200">
        <v>1750</v>
      </c>
      <c r="H77" s="398" t="s">
        <v>979</v>
      </c>
      <c r="I77" s="399">
        <f t="shared" si="1"/>
        <v>0</v>
      </c>
      <c r="K77" s="326"/>
      <c r="L77" s="354"/>
    </row>
    <row r="78" spans="1:12">
      <c r="A78" s="360" t="s">
        <v>477</v>
      </c>
      <c r="B78" s="360" t="s">
        <v>878</v>
      </c>
      <c r="C78" s="415">
        <v>18</v>
      </c>
      <c r="D78" s="354" t="s">
        <v>555</v>
      </c>
      <c r="E78" s="401">
        <v>900</v>
      </c>
      <c r="F78" s="395">
        <v>900</v>
      </c>
      <c r="G78" s="326">
        <v>900</v>
      </c>
      <c r="H78" s="398" t="s">
        <v>979</v>
      </c>
      <c r="I78" s="399">
        <f t="shared" si="1"/>
        <v>0</v>
      </c>
      <c r="K78" s="326"/>
      <c r="L78" s="354"/>
    </row>
    <row r="79" spans="1:12">
      <c r="A79" s="360" t="s">
        <v>477</v>
      </c>
      <c r="B79" s="360" t="s">
        <v>878</v>
      </c>
      <c r="C79" s="415">
        <v>19</v>
      </c>
      <c r="D79" s="354" t="s">
        <v>344</v>
      </c>
      <c r="E79" s="401">
        <v>900</v>
      </c>
      <c r="F79" s="395">
        <v>900</v>
      </c>
      <c r="G79" s="326">
        <v>900</v>
      </c>
      <c r="H79" s="398" t="s">
        <v>979</v>
      </c>
      <c r="I79" s="399">
        <f t="shared" si="1"/>
        <v>0</v>
      </c>
      <c r="K79" s="402"/>
      <c r="L79" s="354"/>
    </row>
    <row r="80" spans="1:12">
      <c r="A80" s="360" t="s">
        <v>477</v>
      </c>
      <c r="B80" s="360" t="s">
        <v>878</v>
      </c>
      <c r="C80" s="415">
        <v>20</v>
      </c>
      <c r="D80" s="354" t="s">
        <v>808</v>
      </c>
      <c r="E80" s="401">
        <v>1750</v>
      </c>
      <c r="F80" s="395">
        <v>1750</v>
      </c>
      <c r="G80" s="402">
        <v>1750</v>
      </c>
      <c r="H80" s="398" t="s">
        <v>979</v>
      </c>
      <c r="I80" s="399">
        <f t="shared" si="1"/>
        <v>0</v>
      </c>
      <c r="K80" s="402"/>
      <c r="L80" s="354"/>
    </row>
    <row r="81" spans="1:12">
      <c r="A81" s="360" t="s">
        <v>477</v>
      </c>
      <c r="B81" s="360" t="s">
        <v>878</v>
      </c>
      <c r="C81" s="415">
        <v>21</v>
      </c>
      <c r="D81" s="354" t="s">
        <v>551</v>
      </c>
      <c r="E81" s="401">
        <v>1750</v>
      </c>
      <c r="F81" s="395">
        <v>1750</v>
      </c>
      <c r="G81" s="402">
        <v>1750</v>
      </c>
      <c r="H81" s="398" t="s">
        <v>979</v>
      </c>
      <c r="I81" s="399">
        <f t="shared" si="1"/>
        <v>0</v>
      </c>
      <c r="K81" s="402"/>
      <c r="L81" s="354"/>
    </row>
    <row r="82" spans="1:12">
      <c r="A82" s="360" t="s">
        <v>477</v>
      </c>
      <c r="B82" s="360" t="s">
        <v>878</v>
      </c>
      <c r="C82" s="415">
        <v>22</v>
      </c>
      <c r="D82" s="354" t="s">
        <v>571</v>
      </c>
      <c r="E82" s="401">
        <v>1750</v>
      </c>
      <c r="F82" s="395">
        <v>1750</v>
      </c>
      <c r="G82" s="402">
        <v>1750</v>
      </c>
      <c r="H82" s="398" t="s">
        <v>979</v>
      </c>
      <c r="I82" s="399">
        <f t="shared" si="1"/>
        <v>0</v>
      </c>
      <c r="K82" s="402"/>
      <c r="L82" s="354"/>
    </row>
    <row r="83" spans="1:12">
      <c r="A83" s="360" t="s">
        <v>477</v>
      </c>
      <c r="B83" s="360" t="s">
        <v>878</v>
      </c>
      <c r="C83" s="415">
        <v>23</v>
      </c>
      <c r="D83" s="354" t="s">
        <v>584</v>
      </c>
      <c r="E83" s="401">
        <v>1750</v>
      </c>
      <c r="F83" s="395">
        <v>1750</v>
      </c>
      <c r="G83" s="402">
        <v>1750</v>
      </c>
      <c r="H83" s="398" t="s">
        <v>979</v>
      </c>
      <c r="I83" s="399">
        <f t="shared" si="1"/>
        <v>0</v>
      </c>
      <c r="K83" s="402"/>
      <c r="L83" s="354"/>
    </row>
    <row r="84" spans="1:12">
      <c r="A84" s="360" t="s">
        <v>477</v>
      </c>
      <c r="B84" s="360" t="s">
        <v>878</v>
      </c>
      <c r="C84" s="415">
        <v>24</v>
      </c>
      <c r="D84" s="354" t="s">
        <v>485</v>
      </c>
      <c r="E84" s="401">
        <v>1750</v>
      </c>
      <c r="F84" s="395">
        <v>1750</v>
      </c>
      <c r="G84" s="402">
        <v>1750</v>
      </c>
      <c r="H84" s="398" t="s">
        <v>979</v>
      </c>
      <c r="I84" s="399">
        <f t="shared" si="1"/>
        <v>0</v>
      </c>
      <c r="K84" s="402"/>
      <c r="L84" s="354"/>
    </row>
    <row r="85" spans="1:12">
      <c r="A85" s="360" t="s">
        <v>477</v>
      </c>
      <c r="B85" s="360" t="s">
        <v>878</v>
      </c>
      <c r="C85" s="415">
        <v>25</v>
      </c>
      <c r="D85" s="354" t="s">
        <v>611</v>
      </c>
      <c r="E85" s="395">
        <v>0</v>
      </c>
      <c r="F85" s="395">
        <v>0</v>
      </c>
      <c r="G85" s="402">
        <v>0</v>
      </c>
      <c r="H85" s="398" t="s">
        <v>979</v>
      </c>
      <c r="I85" s="399">
        <f t="shared" si="1"/>
        <v>0</v>
      </c>
      <c r="K85" s="402"/>
      <c r="L85" s="354"/>
    </row>
    <row r="86" spans="1:12">
      <c r="A86" s="360" t="s">
        <v>477</v>
      </c>
      <c r="B86" s="360" t="s">
        <v>878</v>
      </c>
      <c r="C86" s="415">
        <v>26</v>
      </c>
      <c r="D86" s="354" t="s">
        <v>716</v>
      </c>
      <c r="E86" s="401">
        <v>1750</v>
      </c>
      <c r="F86" s="395">
        <v>1750</v>
      </c>
      <c r="G86" s="402">
        <v>1750</v>
      </c>
      <c r="H86" s="398" t="s">
        <v>979</v>
      </c>
      <c r="I86" s="399">
        <f t="shared" si="1"/>
        <v>0</v>
      </c>
      <c r="K86" s="402"/>
      <c r="L86" s="354"/>
    </row>
    <row r="87" spans="1:12">
      <c r="A87" s="360" t="s">
        <v>477</v>
      </c>
      <c r="B87" s="360" t="s">
        <v>878</v>
      </c>
      <c r="C87" s="415">
        <v>27</v>
      </c>
      <c r="D87" s="354" t="s">
        <v>719</v>
      </c>
      <c r="E87" s="401">
        <v>1750</v>
      </c>
      <c r="F87" s="395">
        <v>1750</v>
      </c>
      <c r="G87" s="402">
        <v>1750</v>
      </c>
      <c r="H87" s="398" t="s">
        <v>979</v>
      </c>
      <c r="I87" s="399">
        <f t="shared" si="1"/>
        <v>0</v>
      </c>
      <c r="K87" s="402"/>
      <c r="L87" s="354"/>
    </row>
    <row r="88" spans="1:12">
      <c r="A88" s="360" t="s">
        <v>477</v>
      </c>
      <c r="B88" s="360" t="s">
        <v>878</v>
      </c>
      <c r="C88" s="415">
        <v>28</v>
      </c>
      <c r="D88" s="354" t="s">
        <v>720</v>
      </c>
      <c r="E88" s="395">
        <v>900</v>
      </c>
      <c r="F88" s="395">
        <v>900</v>
      </c>
      <c r="G88" s="402">
        <v>900</v>
      </c>
      <c r="H88" s="398" t="s">
        <v>979</v>
      </c>
      <c r="I88" s="399">
        <f t="shared" si="1"/>
        <v>0</v>
      </c>
      <c r="K88" s="402"/>
      <c r="L88" s="354"/>
    </row>
    <row r="89" spans="1:12">
      <c r="A89" s="360" t="s">
        <v>477</v>
      </c>
      <c r="B89" s="360" t="s">
        <v>878</v>
      </c>
      <c r="C89" s="415">
        <v>29</v>
      </c>
      <c r="D89" s="354" t="s">
        <v>721</v>
      </c>
      <c r="E89" s="401">
        <v>1750</v>
      </c>
      <c r="F89" s="395">
        <v>1750</v>
      </c>
      <c r="G89" s="402">
        <v>1750</v>
      </c>
      <c r="H89" s="398" t="s">
        <v>979</v>
      </c>
      <c r="I89" s="399">
        <f t="shared" si="1"/>
        <v>0</v>
      </c>
      <c r="K89" s="402"/>
      <c r="L89" s="354"/>
    </row>
    <row r="90" spans="1:12">
      <c r="A90" s="360" t="s">
        <v>477</v>
      </c>
      <c r="B90" s="360" t="s">
        <v>878</v>
      </c>
      <c r="C90" s="415">
        <v>30</v>
      </c>
      <c r="D90" s="354" t="s">
        <v>890</v>
      </c>
      <c r="E90" s="401">
        <v>1750</v>
      </c>
      <c r="F90" s="395">
        <v>1750</v>
      </c>
      <c r="G90" s="402">
        <v>1750</v>
      </c>
      <c r="H90" s="398" t="s">
        <v>979</v>
      </c>
      <c r="I90" s="399">
        <f t="shared" si="1"/>
        <v>0</v>
      </c>
      <c r="K90" s="402"/>
      <c r="L90" s="354"/>
    </row>
    <row r="91" spans="1:12">
      <c r="A91" s="360" t="s">
        <v>477</v>
      </c>
      <c r="B91" s="360" t="s">
        <v>878</v>
      </c>
      <c r="C91" s="415">
        <v>31</v>
      </c>
      <c r="D91" s="354" t="s">
        <v>354</v>
      </c>
      <c r="E91" s="401">
        <v>1750</v>
      </c>
      <c r="F91" s="395">
        <v>1750</v>
      </c>
      <c r="G91" s="402">
        <v>1750</v>
      </c>
      <c r="H91" s="398" t="s">
        <v>979</v>
      </c>
      <c r="I91" s="399">
        <f t="shared" si="1"/>
        <v>0</v>
      </c>
    </row>
    <row r="92" spans="1:12">
      <c r="A92" s="455" t="s">
        <v>477</v>
      </c>
      <c r="B92" s="455" t="s">
        <v>970</v>
      </c>
      <c r="C92" s="456">
        <v>1</v>
      </c>
      <c r="D92" s="460" t="s">
        <v>248</v>
      </c>
      <c r="E92" s="461">
        <v>1950</v>
      </c>
      <c r="F92" s="458">
        <v>1950</v>
      </c>
      <c r="G92" s="451">
        <v>1950</v>
      </c>
      <c r="H92" s="398" t="s">
        <v>979</v>
      </c>
      <c r="I92" s="399">
        <f t="shared" si="1"/>
        <v>0</v>
      </c>
    </row>
    <row r="93" spans="1:12">
      <c r="A93" s="360" t="s">
        <v>477</v>
      </c>
      <c r="B93" s="360" t="s">
        <v>970</v>
      </c>
      <c r="C93" s="415">
        <v>2</v>
      </c>
      <c r="D93" s="376" t="s">
        <v>251</v>
      </c>
      <c r="E93" s="395">
        <v>1950</v>
      </c>
      <c r="F93" s="399">
        <v>1950</v>
      </c>
      <c r="G93" s="200">
        <v>1950</v>
      </c>
      <c r="H93" s="398" t="s">
        <v>979</v>
      </c>
      <c r="I93" s="399">
        <f t="shared" si="1"/>
        <v>0</v>
      </c>
    </row>
    <row r="94" spans="1:12">
      <c r="A94" s="360" t="s">
        <v>477</v>
      </c>
      <c r="B94" s="360" t="s">
        <v>970</v>
      </c>
      <c r="C94" s="415">
        <v>3</v>
      </c>
      <c r="D94" s="376" t="s">
        <v>254</v>
      </c>
      <c r="E94" s="395">
        <v>1950</v>
      </c>
      <c r="F94" s="399">
        <v>1950</v>
      </c>
      <c r="G94" s="200">
        <v>1950</v>
      </c>
      <c r="H94" s="398" t="s">
        <v>979</v>
      </c>
      <c r="I94" s="399">
        <f t="shared" si="1"/>
        <v>0</v>
      </c>
    </row>
    <row r="95" spans="1:12">
      <c r="A95" s="360" t="s">
        <v>477</v>
      </c>
      <c r="B95" s="360" t="s">
        <v>970</v>
      </c>
      <c r="C95" s="415">
        <v>4</v>
      </c>
      <c r="D95" s="376" t="s">
        <v>256</v>
      </c>
      <c r="E95" s="395">
        <v>1950</v>
      </c>
      <c r="F95" s="399">
        <v>1950</v>
      </c>
      <c r="G95" s="200">
        <v>1950</v>
      </c>
      <c r="H95" s="398" t="s">
        <v>979</v>
      </c>
      <c r="I95" s="399">
        <f t="shared" si="1"/>
        <v>0</v>
      </c>
    </row>
    <row r="96" spans="1:12">
      <c r="A96" s="360" t="s">
        <v>477</v>
      </c>
      <c r="B96" s="360" t="s">
        <v>970</v>
      </c>
      <c r="C96" s="415">
        <v>5</v>
      </c>
      <c r="D96" s="376" t="s">
        <v>259</v>
      </c>
      <c r="E96" s="395">
        <v>1950</v>
      </c>
      <c r="F96" s="399">
        <v>1950</v>
      </c>
      <c r="G96" s="200">
        <v>1950</v>
      </c>
      <c r="H96" s="398" t="s">
        <v>979</v>
      </c>
      <c r="I96" s="399">
        <f t="shared" si="1"/>
        <v>0</v>
      </c>
    </row>
    <row r="97" spans="1:9">
      <c r="A97" s="360" t="s">
        <v>477</v>
      </c>
      <c r="B97" s="360" t="s">
        <v>970</v>
      </c>
      <c r="C97" s="415">
        <v>6</v>
      </c>
      <c r="D97" s="376" t="s">
        <v>262</v>
      </c>
      <c r="E97" s="395">
        <v>1950</v>
      </c>
      <c r="F97" s="399">
        <v>1950</v>
      </c>
      <c r="G97" s="200">
        <v>1950</v>
      </c>
      <c r="H97" s="398" t="s">
        <v>979</v>
      </c>
      <c r="I97" s="399">
        <f t="shared" si="1"/>
        <v>0</v>
      </c>
    </row>
    <row r="98" spans="1:9">
      <c r="A98" s="360" t="s">
        <v>477</v>
      </c>
      <c r="B98" s="360" t="s">
        <v>970</v>
      </c>
      <c r="C98" s="415">
        <v>7</v>
      </c>
      <c r="D98" s="376" t="s">
        <v>263</v>
      </c>
      <c r="E98" s="395">
        <v>1950</v>
      </c>
      <c r="F98" s="399">
        <v>1950</v>
      </c>
      <c r="G98" s="200">
        <v>1950</v>
      </c>
      <c r="H98" s="398" t="s">
        <v>979</v>
      </c>
      <c r="I98" s="399">
        <f t="shared" ref="I98:I113" si="2">F98-G98</f>
        <v>0</v>
      </c>
    </row>
    <row r="99" spans="1:9">
      <c r="A99" s="360" t="s">
        <v>477</v>
      </c>
      <c r="B99" s="360" t="s">
        <v>970</v>
      </c>
      <c r="C99" s="415">
        <v>8</v>
      </c>
      <c r="D99" s="376" t="s">
        <v>390</v>
      </c>
      <c r="E99" s="395">
        <v>0</v>
      </c>
      <c r="F99" s="399">
        <v>0</v>
      </c>
      <c r="G99" s="200"/>
      <c r="H99" s="398" t="s">
        <v>979</v>
      </c>
      <c r="I99" s="399">
        <f t="shared" si="2"/>
        <v>0</v>
      </c>
    </row>
    <row r="100" spans="1:9">
      <c r="A100" s="360" t="s">
        <v>477</v>
      </c>
      <c r="B100" s="360" t="s">
        <v>970</v>
      </c>
      <c r="C100" s="415">
        <v>9</v>
      </c>
      <c r="D100" s="376" t="s">
        <v>356</v>
      </c>
      <c r="E100" s="395">
        <v>1950</v>
      </c>
      <c r="F100" s="399">
        <v>1950</v>
      </c>
      <c r="G100" s="200">
        <v>1950</v>
      </c>
      <c r="H100" s="398" t="s">
        <v>979</v>
      </c>
      <c r="I100" s="399">
        <f t="shared" si="2"/>
        <v>0</v>
      </c>
    </row>
    <row r="101" spans="1:9">
      <c r="A101" s="360" t="s">
        <v>477</v>
      </c>
      <c r="B101" s="360" t="s">
        <v>970</v>
      </c>
      <c r="C101" s="415">
        <v>10</v>
      </c>
      <c r="D101" s="376" t="s">
        <v>348</v>
      </c>
      <c r="E101" s="395">
        <v>1950</v>
      </c>
      <c r="F101" s="399">
        <v>1950</v>
      </c>
      <c r="G101" s="200">
        <v>1950</v>
      </c>
      <c r="H101" s="398" t="s">
        <v>979</v>
      </c>
      <c r="I101" s="399">
        <f t="shared" si="2"/>
        <v>0</v>
      </c>
    </row>
    <row r="102" spans="1:9">
      <c r="A102" s="360" t="s">
        <v>477</v>
      </c>
      <c r="B102" s="360" t="s">
        <v>970</v>
      </c>
      <c r="C102" s="415">
        <v>11</v>
      </c>
      <c r="D102" s="376" t="s">
        <v>270</v>
      </c>
      <c r="E102" s="395">
        <v>1950</v>
      </c>
      <c r="F102" s="399">
        <v>1950</v>
      </c>
      <c r="G102" s="200">
        <v>1950</v>
      </c>
      <c r="H102" s="398" t="s">
        <v>979</v>
      </c>
      <c r="I102" s="399">
        <f t="shared" si="2"/>
        <v>0</v>
      </c>
    </row>
    <row r="103" spans="1:9">
      <c r="A103" s="360" t="s">
        <v>477</v>
      </c>
      <c r="B103" s="360" t="s">
        <v>970</v>
      </c>
      <c r="C103" s="415">
        <v>13</v>
      </c>
      <c r="D103" s="376" t="s">
        <v>273</v>
      </c>
      <c r="E103" s="395">
        <v>1000</v>
      </c>
      <c r="F103" s="399">
        <v>1000</v>
      </c>
      <c r="G103" s="200">
        <v>1000</v>
      </c>
      <c r="H103" s="398" t="s">
        <v>979</v>
      </c>
      <c r="I103" s="399">
        <f t="shared" si="2"/>
        <v>0</v>
      </c>
    </row>
    <row r="104" spans="1:9">
      <c r="A104" s="360" t="s">
        <v>477</v>
      </c>
      <c r="B104" s="360" t="s">
        <v>970</v>
      </c>
      <c r="C104" s="415">
        <v>14</v>
      </c>
      <c r="D104" s="376" t="s">
        <v>288</v>
      </c>
      <c r="E104" s="395">
        <v>1950</v>
      </c>
      <c r="F104" s="399">
        <v>1950</v>
      </c>
      <c r="G104" s="200">
        <v>1950</v>
      </c>
      <c r="H104" s="398" t="s">
        <v>979</v>
      </c>
      <c r="I104" s="399">
        <f t="shared" si="2"/>
        <v>0</v>
      </c>
    </row>
    <row r="105" spans="1:9">
      <c r="A105" s="360" t="s">
        <v>477</v>
      </c>
      <c r="B105" s="360" t="s">
        <v>970</v>
      </c>
      <c r="C105" s="415">
        <v>15</v>
      </c>
      <c r="D105" s="376" t="s">
        <v>291</v>
      </c>
      <c r="E105" s="395">
        <v>1950</v>
      </c>
      <c r="F105" s="399">
        <v>1950</v>
      </c>
      <c r="G105" s="200">
        <v>1950</v>
      </c>
      <c r="H105" s="398" t="s">
        <v>979</v>
      </c>
      <c r="I105" s="399">
        <f t="shared" si="2"/>
        <v>0</v>
      </c>
    </row>
    <row r="106" spans="1:9">
      <c r="A106" s="360" t="s">
        <v>477</v>
      </c>
      <c r="B106" s="360" t="s">
        <v>970</v>
      </c>
      <c r="C106" s="415">
        <v>16</v>
      </c>
      <c r="D106" s="376" t="s">
        <v>296</v>
      </c>
      <c r="E106" s="395">
        <v>1000</v>
      </c>
      <c r="F106" s="399">
        <v>1000</v>
      </c>
      <c r="G106" s="200">
        <v>1000</v>
      </c>
      <c r="H106" s="398" t="s">
        <v>979</v>
      </c>
      <c r="I106" s="399">
        <f t="shared" si="2"/>
        <v>0</v>
      </c>
    </row>
    <row r="107" spans="1:9">
      <c r="A107" s="360" t="s">
        <v>477</v>
      </c>
      <c r="B107" s="360" t="s">
        <v>970</v>
      </c>
      <c r="C107" s="415">
        <v>17</v>
      </c>
      <c r="D107" s="376" t="s">
        <v>302</v>
      </c>
      <c r="E107" s="395">
        <v>1950</v>
      </c>
      <c r="F107" s="399">
        <v>1950</v>
      </c>
      <c r="G107" s="449">
        <v>1950</v>
      </c>
      <c r="H107" s="398" t="s">
        <v>979</v>
      </c>
      <c r="I107" s="399">
        <f t="shared" si="2"/>
        <v>0</v>
      </c>
    </row>
    <row r="108" spans="1:9">
      <c r="A108" s="360" t="s">
        <v>477</v>
      </c>
      <c r="B108" s="360" t="s">
        <v>970</v>
      </c>
      <c r="C108" s="415">
        <v>18</v>
      </c>
      <c r="D108" s="376" t="s">
        <v>368</v>
      </c>
      <c r="E108" s="395">
        <v>0</v>
      </c>
      <c r="F108" s="399">
        <v>0</v>
      </c>
      <c r="G108" s="200"/>
      <c r="H108" s="398" t="s">
        <v>979</v>
      </c>
      <c r="I108" s="399">
        <f t="shared" si="2"/>
        <v>0</v>
      </c>
    </row>
    <row r="109" spans="1:9">
      <c r="A109" s="360" t="s">
        <v>477</v>
      </c>
      <c r="B109" s="360" t="s">
        <v>970</v>
      </c>
      <c r="C109" s="415">
        <v>19</v>
      </c>
      <c r="D109" s="376" t="s">
        <v>809</v>
      </c>
      <c r="E109" s="395">
        <v>1950</v>
      </c>
      <c r="F109" s="399">
        <v>1950</v>
      </c>
      <c r="G109" s="200">
        <v>1950</v>
      </c>
      <c r="H109" s="398" t="s">
        <v>979</v>
      </c>
      <c r="I109" s="399">
        <f t="shared" si="2"/>
        <v>0</v>
      </c>
    </row>
    <row r="110" spans="1:9">
      <c r="A110" s="360" t="s">
        <v>477</v>
      </c>
      <c r="B110" s="360" t="s">
        <v>970</v>
      </c>
      <c r="C110" s="415">
        <v>20</v>
      </c>
      <c r="D110" s="376" t="s">
        <v>289</v>
      </c>
      <c r="E110" s="395">
        <v>1950</v>
      </c>
      <c r="F110" s="399">
        <v>1950</v>
      </c>
      <c r="G110" s="200">
        <v>1950</v>
      </c>
      <c r="H110" s="398" t="s">
        <v>979</v>
      </c>
      <c r="I110" s="399">
        <f t="shared" si="2"/>
        <v>0</v>
      </c>
    </row>
    <row r="111" spans="1:9">
      <c r="A111" s="360" t="s">
        <v>477</v>
      </c>
      <c r="B111" s="360" t="s">
        <v>970</v>
      </c>
      <c r="C111" s="415">
        <v>17</v>
      </c>
      <c r="D111" s="376" t="s">
        <v>386</v>
      </c>
      <c r="E111" s="395">
        <v>1000</v>
      </c>
      <c r="F111" s="395">
        <v>1000</v>
      </c>
      <c r="G111" s="200">
        <v>1000</v>
      </c>
      <c r="H111" s="398" t="s">
        <v>979</v>
      </c>
      <c r="I111" s="399">
        <f t="shared" si="2"/>
        <v>0</v>
      </c>
    </row>
    <row r="112" spans="1:9">
      <c r="A112" s="360" t="s">
        <v>477</v>
      </c>
      <c r="B112" s="360" t="s">
        <v>970</v>
      </c>
      <c r="C112" s="415">
        <v>21</v>
      </c>
      <c r="D112" s="376" t="s">
        <v>311</v>
      </c>
      <c r="E112" s="395">
        <v>1950</v>
      </c>
      <c r="F112" s="399">
        <v>1950</v>
      </c>
      <c r="G112" s="200">
        <v>1950</v>
      </c>
      <c r="H112" s="398" t="s">
        <v>979</v>
      </c>
      <c r="I112" s="399">
        <f t="shared" si="2"/>
        <v>0</v>
      </c>
    </row>
    <row r="113" spans="1:9">
      <c r="A113" s="455" t="s">
        <v>477</v>
      </c>
      <c r="B113" s="455" t="s">
        <v>971</v>
      </c>
      <c r="C113" s="456">
        <v>1</v>
      </c>
      <c r="D113" s="460" t="s">
        <v>313</v>
      </c>
      <c r="E113" s="461">
        <v>1950</v>
      </c>
      <c r="F113" s="461">
        <v>1950</v>
      </c>
      <c r="G113" s="451">
        <v>1950</v>
      </c>
      <c r="H113" s="398" t="s">
        <v>979</v>
      </c>
      <c r="I113" s="399">
        <f t="shared" si="2"/>
        <v>0</v>
      </c>
    </row>
    <row r="114" spans="1:9">
      <c r="A114" s="360" t="s">
        <v>477</v>
      </c>
      <c r="B114" s="360" t="s">
        <v>971</v>
      </c>
      <c r="C114" s="415">
        <v>2</v>
      </c>
      <c r="D114" s="376" t="s">
        <v>309</v>
      </c>
      <c r="E114" s="395">
        <v>1000</v>
      </c>
      <c r="F114" s="395">
        <v>1000</v>
      </c>
      <c r="G114" s="200">
        <v>1000</v>
      </c>
      <c r="H114" s="398" t="s">
        <v>979</v>
      </c>
      <c r="I114" s="399">
        <f t="shared" si="1"/>
        <v>0</v>
      </c>
    </row>
    <row r="115" spans="1:9">
      <c r="A115" s="360" t="s">
        <v>477</v>
      </c>
      <c r="B115" s="360" t="s">
        <v>971</v>
      </c>
      <c r="C115" s="415">
        <v>3</v>
      </c>
      <c r="D115" s="376" t="s">
        <v>328</v>
      </c>
      <c r="E115" s="395">
        <v>1950</v>
      </c>
      <c r="F115" s="395">
        <v>1950</v>
      </c>
      <c r="G115" s="200">
        <v>1950</v>
      </c>
      <c r="H115" s="398" t="s">
        <v>979</v>
      </c>
      <c r="I115" s="399">
        <f t="shared" si="1"/>
        <v>0</v>
      </c>
    </row>
    <row r="116" spans="1:9">
      <c r="A116" s="360" t="s">
        <v>477</v>
      </c>
      <c r="B116" s="360" t="s">
        <v>971</v>
      </c>
      <c r="C116" s="415">
        <v>4</v>
      </c>
      <c r="D116" s="376" t="s">
        <v>333</v>
      </c>
      <c r="E116" s="395">
        <v>1950</v>
      </c>
      <c r="F116" s="395">
        <v>1950</v>
      </c>
      <c r="G116" s="200">
        <v>1950</v>
      </c>
      <c r="H116" s="398" t="s">
        <v>979</v>
      </c>
      <c r="I116" s="399">
        <f t="shared" si="1"/>
        <v>0</v>
      </c>
    </row>
    <row r="117" spans="1:9">
      <c r="A117" s="360" t="s">
        <v>477</v>
      </c>
      <c r="B117" s="360" t="s">
        <v>971</v>
      </c>
      <c r="C117" s="415">
        <v>5</v>
      </c>
      <c r="D117" s="376" t="s">
        <v>336</v>
      </c>
      <c r="E117" s="395">
        <v>1950</v>
      </c>
      <c r="F117" s="395">
        <v>1950</v>
      </c>
      <c r="G117" s="200">
        <v>1950</v>
      </c>
      <c r="H117" s="398" t="s">
        <v>979</v>
      </c>
      <c r="I117" s="399">
        <f t="shared" si="1"/>
        <v>0</v>
      </c>
    </row>
    <row r="118" spans="1:9">
      <c r="A118" s="360" t="s">
        <v>477</v>
      </c>
      <c r="B118" s="360" t="s">
        <v>971</v>
      </c>
      <c r="C118" s="415">
        <v>6</v>
      </c>
      <c r="D118" s="376" t="s">
        <v>382</v>
      </c>
      <c r="E118" s="395">
        <v>1950</v>
      </c>
      <c r="F118" s="395">
        <v>1950</v>
      </c>
      <c r="G118" s="200">
        <v>1950</v>
      </c>
      <c r="H118" s="398" t="s">
        <v>979</v>
      </c>
      <c r="I118" s="399">
        <f t="shared" si="1"/>
        <v>0</v>
      </c>
    </row>
    <row r="119" spans="1:9">
      <c r="A119" s="360" t="s">
        <v>477</v>
      </c>
      <c r="B119" s="360" t="s">
        <v>971</v>
      </c>
      <c r="C119" s="415">
        <v>7</v>
      </c>
      <c r="D119" s="376" t="s">
        <v>345</v>
      </c>
      <c r="E119" s="395">
        <v>1950</v>
      </c>
      <c r="F119" s="395">
        <v>1950</v>
      </c>
      <c r="G119" s="200">
        <v>1950</v>
      </c>
      <c r="H119" s="398" t="s">
        <v>979</v>
      </c>
      <c r="I119" s="399">
        <f t="shared" si="1"/>
        <v>0</v>
      </c>
    </row>
    <row r="120" spans="1:9">
      <c r="A120" s="360" t="s">
        <v>477</v>
      </c>
      <c r="B120" s="360" t="s">
        <v>971</v>
      </c>
      <c r="C120" s="415">
        <v>8</v>
      </c>
      <c r="D120" s="376" t="s">
        <v>352</v>
      </c>
      <c r="E120" s="395">
        <v>1950</v>
      </c>
      <c r="F120" s="395">
        <v>1950</v>
      </c>
      <c r="G120" s="200">
        <v>1950</v>
      </c>
      <c r="H120" s="398" t="s">
        <v>979</v>
      </c>
      <c r="I120" s="399">
        <f t="shared" si="1"/>
        <v>0</v>
      </c>
    </row>
    <row r="121" spans="1:9">
      <c r="A121" s="360" t="s">
        <v>477</v>
      </c>
      <c r="B121" s="360" t="s">
        <v>971</v>
      </c>
      <c r="C121" s="415">
        <v>9</v>
      </c>
      <c r="D121" s="376" t="s">
        <v>276</v>
      </c>
      <c r="E121" s="395">
        <v>1950</v>
      </c>
      <c r="F121" s="395">
        <v>1950</v>
      </c>
      <c r="G121" s="200">
        <v>1950</v>
      </c>
      <c r="H121" s="398" t="s">
        <v>979</v>
      </c>
      <c r="I121" s="399">
        <f t="shared" si="1"/>
        <v>0</v>
      </c>
    </row>
    <row r="122" spans="1:9">
      <c r="A122" s="360" t="s">
        <v>477</v>
      </c>
      <c r="B122" s="360" t="s">
        <v>971</v>
      </c>
      <c r="C122" s="415">
        <v>10</v>
      </c>
      <c r="D122" s="376" t="s">
        <v>381</v>
      </c>
      <c r="E122" s="395">
        <v>1000</v>
      </c>
      <c r="F122" s="395">
        <v>1000</v>
      </c>
      <c r="G122" s="200">
        <v>1000</v>
      </c>
      <c r="H122" s="398" t="s">
        <v>979</v>
      </c>
      <c r="I122" s="399">
        <f t="shared" si="1"/>
        <v>0</v>
      </c>
    </row>
    <row r="123" spans="1:9">
      <c r="A123" s="360" t="s">
        <v>477</v>
      </c>
      <c r="B123" s="360" t="s">
        <v>971</v>
      </c>
      <c r="C123" s="415">
        <v>11</v>
      </c>
      <c r="D123" s="354" t="s">
        <v>404</v>
      </c>
      <c r="E123" s="395">
        <v>1950</v>
      </c>
      <c r="F123" s="395">
        <v>1950</v>
      </c>
      <c r="G123" s="200">
        <v>1950</v>
      </c>
      <c r="H123" s="398" t="s">
        <v>979</v>
      </c>
      <c r="I123" s="399">
        <f t="shared" si="1"/>
        <v>0</v>
      </c>
    </row>
    <row r="124" spans="1:9">
      <c r="A124" s="360" t="s">
        <v>477</v>
      </c>
      <c r="B124" s="360" t="s">
        <v>971</v>
      </c>
      <c r="C124" s="415">
        <v>12</v>
      </c>
      <c r="D124" s="376" t="s">
        <v>353</v>
      </c>
      <c r="E124" s="395">
        <v>1950</v>
      </c>
      <c r="F124" s="395">
        <v>1950</v>
      </c>
      <c r="G124" s="200">
        <v>1950</v>
      </c>
      <c r="H124" s="398" t="s">
        <v>979</v>
      </c>
      <c r="I124" s="399">
        <f t="shared" si="1"/>
        <v>0</v>
      </c>
    </row>
    <row r="125" spans="1:9">
      <c r="A125" s="360" t="s">
        <v>477</v>
      </c>
      <c r="B125" s="360" t="s">
        <v>971</v>
      </c>
      <c r="C125" s="415">
        <v>13</v>
      </c>
      <c r="D125" s="376" t="s">
        <v>74</v>
      </c>
      <c r="E125" s="395">
        <v>1950</v>
      </c>
      <c r="F125" s="395">
        <v>1950</v>
      </c>
      <c r="G125" s="200">
        <v>1950</v>
      </c>
      <c r="H125" s="398" t="s">
        <v>979</v>
      </c>
      <c r="I125" s="399">
        <f t="shared" si="1"/>
        <v>0</v>
      </c>
    </row>
    <row r="126" spans="1:9">
      <c r="A126" s="360" t="s">
        <v>477</v>
      </c>
      <c r="B126" s="360" t="s">
        <v>971</v>
      </c>
      <c r="C126" s="415">
        <v>14</v>
      </c>
      <c r="D126" s="376" t="s">
        <v>361</v>
      </c>
      <c r="E126" s="395">
        <v>1950</v>
      </c>
      <c r="F126" s="395">
        <v>1950</v>
      </c>
      <c r="G126" s="200">
        <v>1950</v>
      </c>
      <c r="H126" s="398" t="s">
        <v>979</v>
      </c>
      <c r="I126" s="399">
        <f t="shared" si="1"/>
        <v>0</v>
      </c>
    </row>
    <row r="127" spans="1:9">
      <c r="A127" s="360" t="s">
        <v>477</v>
      </c>
      <c r="B127" s="360" t="s">
        <v>971</v>
      </c>
      <c r="C127" s="415">
        <v>15</v>
      </c>
      <c r="D127" s="376" t="s">
        <v>372</v>
      </c>
      <c r="E127" s="395">
        <v>1950</v>
      </c>
      <c r="F127" s="395">
        <v>1950</v>
      </c>
      <c r="G127" s="200">
        <v>1950</v>
      </c>
      <c r="H127" s="398" t="s">
        <v>979</v>
      </c>
      <c r="I127" s="399">
        <f t="shared" si="1"/>
        <v>0</v>
      </c>
    </row>
    <row r="128" spans="1:9">
      <c r="A128" s="360" t="s">
        <v>477</v>
      </c>
      <c r="B128" s="360" t="s">
        <v>971</v>
      </c>
      <c r="C128" s="415">
        <v>16</v>
      </c>
      <c r="D128" s="376" t="s">
        <v>417</v>
      </c>
      <c r="E128" s="395">
        <v>1950</v>
      </c>
      <c r="F128" s="395">
        <v>1950</v>
      </c>
      <c r="G128" s="200">
        <v>1950</v>
      </c>
      <c r="H128" s="398" t="s">
        <v>979</v>
      </c>
      <c r="I128" s="399">
        <f t="shared" si="1"/>
        <v>0</v>
      </c>
    </row>
    <row r="129" spans="1:14">
      <c r="A129" s="360" t="s">
        <v>477</v>
      </c>
      <c r="B129" s="360" t="s">
        <v>971</v>
      </c>
      <c r="C129" s="415">
        <v>17</v>
      </c>
      <c r="D129" s="376" t="s">
        <v>369</v>
      </c>
      <c r="E129" s="395">
        <v>1000</v>
      </c>
      <c r="F129" s="399">
        <v>1000</v>
      </c>
      <c r="G129" s="200">
        <v>1000</v>
      </c>
      <c r="H129" s="398" t="s">
        <v>979</v>
      </c>
      <c r="I129" s="399">
        <f t="shared" si="1"/>
        <v>0</v>
      </c>
    </row>
    <row r="130" spans="1:14">
      <c r="A130" s="360" t="s">
        <v>477</v>
      </c>
      <c r="B130" s="360" t="s">
        <v>971</v>
      </c>
      <c r="C130" s="415">
        <v>18</v>
      </c>
      <c r="D130" s="376" t="s">
        <v>409</v>
      </c>
      <c r="E130" s="395">
        <v>1950</v>
      </c>
      <c r="F130" s="395">
        <v>1950</v>
      </c>
      <c r="G130" s="200">
        <v>1950</v>
      </c>
      <c r="H130" s="398" t="s">
        <v>979</v>
      </c>
      <c r="I130" s="399">
        <f t="shared" ref="I130:I193" si="3">F130-G130</f>
        <v>0</v>
      </c>
    </row>
    <row r="131" spans="1:14">
      <c r="A131" s="360" t="s">
        <v>477</v>
      </c>
      <c r="B131" s="360" t="s">
        <v>971</v>
      </c>
      <c r="C131" s="415">
        <v>19</v>
      </c>
      <c r="D131" s="376" t="s">
        <v>734</v>
      </c>
      <c r="E131" s="395">
        <v>1950</v>
      </c>
      <c r="F131" s="395">
        <v>1950</v>
      </c>
      <c r="G131" s="200">
        <v>1950</v>
      </c>
      <c r="H131" s="398" t="s">
        <v>979</v>
      </c>
      <c r="I131" s="399">
        <f t="shared" si="3"/>
        <v>0</v>
      </c>
    </row>
    <row r="132" spans="1:14">
      <c r="A132" s="360" t="s">
        <v>477</v>
      </c>
      <c r="B132" s="360" t="s">
        <v>971</v>
      </c>
      <c r="C132" s="415">
        <v>20</v>
      </c>
      <c r="D132" s="376" t="s">
        <v>810</v>
      </c>
      <c r="E132" s="395">
        <v>1000</v>
      </c>
      <c r="F132" s="395">
        <v>1000</v>
      </c>
      <c r="G132" s="200">
        <v>1000</v>
      </c>
      <c r="H132" s="398" t="s">
        <v>979</v>
      </c>
      <c r="I132" s="399">
        <f t="shared" si="3"/>
        <v>0</v>
      </c>
    </row>
    <row r="133" spans="1:14">
      <c r="A133" s="360" t="s">
        <v>477</v>
      </c>
      <c r="B133" s="360" t="s">
        <v>971</v>
      </c>
      <c r="C133" s="415">
        <v>21</v>
      </c>
      <c r="D133" s="376" t="s">
        <v>319</v>
      </c>
      <c r="E133" s="395">
        <v>1950</v>
      </c>
      <c r="F133" s="395">
        <v>1950</v>
      </c>
      <c r="G133" s="200">
        <v>1950</v>
      </c>
      <c r="H133" s="398" t="s">
        <v>979</v>
      </c>
      <c r="I133" s="399">
        <f t="shared" si="3"/>
        <v>0</v>
      </c>
    </row>
    <row r="134" spans="1:14">
      <c r="A134" s="360" t="s">
        <v>477</v>
      </c>
      <c r="B134" s="360" t="s">
        <v>971</v>
      </c>
      <c r="C134" s="415">
        <v>22</v>
      </c>
      <c r="D134" s="376" t="s">
        <v>265</v>
      </c>
      <c r="E134" s="395">
        <v>1950</v>
      </c>
      <c r="F134" s="395">
        <v>1950</v>
      </c>
      <c r="G134" s="200">
        <v>1950</v>
      </c>
      <c r="H134" s="398" t="s">
        <v>979</v>
      </c>
      <c r="I134" s="399">
        <f t="shared" si="3"/>
        <v>0</v>
      </c>
    </row>
    <row r="135" spans="1:14">
      <c r="A135" s="360" t="s">
        <v>477</v>
      </c>
      <c r="B135" s="360" t="s">
        <v>971</v>
      </c>
      <c r="C135" s="415">
        <v>23</v>
      </c>
      <c r="D135" s="376" t="s">
        <v>945</v>
      </c>
      <c r="E135" s="395">
        <v>1950</v>
      </c>
      <c r="F135" s="395">
        <v>1950</v>
      </c>
      <c r="G135" s="200">
        <v>1950</v>
      </c>
      <c r="H135" s="398" t="s">
        <v>979</v>
      </c>
      <c r="I135" s="399">
        <f t="shared" si="3"/>
        <v>0</v>
      </c>
    </row>
    <row r="136" spans="1:14">
      <c r="A136" s="360" t="s">
        <v>477</v>
      </c>
      <c r="B136" s="459" t="s">
        <v>1009</v>
      </c>
      <c r="C136" s="456">
        <v>1</v>
      </c>
      <c r="D136" s="460" t="s">
        <v>215</v>
      </c>
      <c r="E136" s="461">
        <v>1950</v>
      </c>
      <c r="F136" s="461">
        <v>1950</v>
      </c>
      <c r="G136" s="451">
        <v>1950</v>
      </c>
      <c r="H136" s="398" t="s">
        <v>979</v>
      </c>
      <c r="I136" s="399">
        <f t="shared" si="3"/>
        <v>0</v>
      </c>
      <c r="M136" s="343" t="s">
        <v>477</v>
      </c>
      <c r="N136" s="343" t="s">
        <v>423</v>
      </c>
    </row>
    <row r="137" spans="1:14">
      <c r="A137" s="360" t="s">
        <v>477</v>
      </c>
      <c r="B137" s="411" t="s">
        <v>1009</v>
      </c>
      <c r="C137" s="415">
        <v>2</v>
      </c>
      <c r="D137" s="376" t="s">
        <v>225</v>
      </c>
      <c r="E137" s="395">
        <v>1950</v>
      </c>
      <c r="F137" s="395">
        <v>1950</v>
      </c>
      <c r="G137" s="200">
        <v>1950</v>
      </c>
      <c r="H137" s="398" t="s">
        <v>979</v>
      </c>
      <c r="I137" s="399">
        <f t="shared" si="3"/>
        <v>0</v>
      </c>
      <c r="M137" s="343" t="s">
        <v>462</v>
      </c>
      <c r="N137" s="343" t="s">
        <v>18</v>
      </c>
    </row>
    <row r="138" spans="1:14">
      <c r="A138" s="360" t="s">
        <v>477</v>
      </c>
      <c r="B138" s="411" t="s">
        <v>1009</v>
      </c>
      <c r="C138" s="415">
        <v>3</v>
      </c>
      <c r="D138" s="376" t="s">
        <v>169</v>
      </c>
      <c r="E138" s="395">
        <v>1950</v>
      </c>
      <c r="F138" s="395">
        <v>1950</v>
      </c>
      <c r="G138" s="200">
        <v>1950</v>
      </c>
      <c r="H138" s="398" t="s">
        <v>979</v>
      </c>
      <c r="I138" s="399">
        <f t="shared" si="3"/>
        <v>0</v>
      </c>
      <c r="N138" s="343" t="s">
        <v>22</v>
      </c>
    </row>
    <row r="139" spans="1:14">
      <c r="A139" s="360" t="s">
        <v>477</v>
      </c>
      <c r="B139" s="411" t="s">
        <v>1009</v>
      </c>
      <c r="C139" s="415">
        <v>4</v>
      </c>
      <c r="D139" s="376" t="s">
        <v>174</v>
      </c>
      <c r="E139" s="395">
        <v>1950</v>
      </c>
      <c r="F139" s="395">
        <v>1950</v>
      </c>
      <c r="G139" s="200">
        <v>1950</v>
      </c>
      <c r="H139" s="398" t="s">
        <v>979</v>
      </c>
      <c r="I139" s="399">
        <f t="shared" si="3"/>
        <v>0</v>
      </c>
    </row>
    <row r="140" spans="1:14">
      <c r="A140" s="360" t="s">
        <v>477</v>
      </c>
      <c r="B140" s="411" t="s">
        <v>1009</v>
      </c>
      <c r="C140" s="415">
        <v>5</v>
      </c>
      <c r="D140" s="376" t="s">
        <v>127</v>
      </c>
      <c r="E140" s="395">
        <v>1950</v>
      </c>
      <c r="F140" s="395">
        <v>1950</v>
      </c>
      <c r="G140" s="200">
        <v>1950</v>
      </c>
      <c r="H140" s="398" t="s">
        <v>979</v>
      </c>
      <c r="I140" s="399">
        <f t="shared" si="3"/>
        <v>0</v>
      </c>
    </row>
    <row r="141" spans="1:14">
      <c r="A141" s="360" t="s">
        <v>477</v>
      </c>
      <c r="B141" s="411" t="s">
        <v>1009</v>
      </c>
      <c r="C141" s="415">
        <v>6</v>
      </c>
      <c r="D141" s="376" t="s">
        <v>155</v>
      </c>
      <c r="E141" s="395">
        <v>1950</v>
      </c>
      <c r="F141" s="395">
        <v>1950</v>
      </c>
      <c r="G141" s="200">
        <v>1950</v>
      </c>
      <c r="H141" s="398" t="s">
        <v>979</v>
      </c>
      <c r="I141" s="399">
        <f t="shared" si="3"/>
        <v>0</v>
      </c>
    </row>
    <row r="142" spans="1:14">
      <c r="A142" s="360" t="s">
        <v>477</v>
      </c>
      <c r="B142" s="411" t="s">
        <v>1009</v>
      </c>
      <c r="C142" s="415">
        <v>7</v>
      </c>
      <c r="D142" s="376" t="s">
        <v>176</v>
      </c>
      <c r="E142" s="395">
        <v>1950</v>
      </c>
      <c r="F142" s="395">
        <v>1950</v>
      </c>
      <c r="G142" s="200">
        <v>1950</v>
      </c>
      <c r="H142" s="398" t="s">
        <v>979</v>
      </c>
      <c r="I142" s="399">
        <f t="shared" si="3"/>
        <v>0</v>
      </c>
    </row>
    <row r="143" spans="1:14">
      <c r="A143" s="360" t="s">
        <v>477</v>
      </c>
      <c r="B143" s="411" t="s">
        <v>1009</v>
      </c>
      <c r="C143" s="415">
        <v>8</v>
      </c>
      <c r="D143" s="376" t="s">
        <v>299</v>
      </c>
      <c r="E143" s="395">
        <v>1950</v>
      </c>
      <c r="F143" s="395">
        <v>1950</v>
      </c>
      <c r="G143" s="200">
        <v>1950</v>
      </c>
      <c r="H143" s="398" t="s">
        <v>979</v>
      </c>
      <c r="I143" s="399">
        <f t="shared" si="3"/>
        <v>0</v>
      </c>
    </row>
    <row r="144" spans="1:14">
      <c r="A144" s="360" t="s">
        <v>477</v>
      </c>
      <c r="B144" s="411" t="s">
        <v>1009</v>
      </c>
      <c r="C144" s="415">
        <v>9</v>
      </c>
      <c r="D144" s="376" t="s">
        <v>341</v>
      </c>
      <c r="E144" s="395">
        <v>1950</v>
      </c>
      <c r="F144" s="395">
        <v>1950</v>
      </c>
      <c r="G144" s="200">
        <v>1950</v>
      </c>
      <c r="H144" s="398" t="s">
        <v>979</v>
      </c>
      <c r="I144" s="399">
        <f t="shared" si="3"/>
        <v>0</v>
      </c>
    </row>
    <row r="145" spans="1:9">
      <c r="A145" s="360" t="s">
        <v>477</v>
      </c>
      <c r="B145" s="411" t="s">
        <v>1009</v>
      </c>
      <c r="C145" s="415">
        <v>10</v>
      </c>
      <c r="D145" s="376" t="s">
        <v>344</v>
      </c>
      <c r="E145" s="395">
        <v>1950</v>
      </c>
      <c r="F145" s="395">
        <v>1950</v>
      </c>
      <c r="G145" s="200">
        <v>1950</v>
      </c>
      <c r="H145" s="398" t="s">
        <v>979</v>
      </c>
      <c r="I145" s="399">
        <f t="shared" si="3"/>
        <v>0</v>
      </c>
    </row>
    <row r="146" spans="1:9">
      <c r="A146" s="360" t="s">
        <v>477</v>
      </c>
      <c r="B146" s="411" t="s">
        <v>1009</v>
      </c>
      <c r="C146" s="415">
        <v>11</v>
      </c>
      <c r="D146" s="376" t="s">
        <v>163</v>
      </c>
      <c r="E146" s="395">
        <v>1950</v>
      </c>
      <c r="F146" s="395">
        <v>1950</v>
      </c>
      <c r="G146" s="200">
        <v>1950</v>
      </c>
      <c r="H146" s="398" t="s">
        <v>979</v>
      </c>
      <c r="I146" s="399">
        <f t="shared" si="3"/>
        <v>0</v>
      </c>
    </row>
    <row r="147" spans="1:9">
      <c r="A147" s="360" t="s">
        <v>477</v>
      </c>
      <c r="B147" s="411" t="s">
        <v>1009</v>
      </c>
      <c r="C147" s="415">
        <v>12</v>
      </c>
      <c r="D147" s="376" t="s">
        <v>231</v>
      </c>
      <c r="E147" s="395">
        <v>1950</v>
      </c>
      <c r="F147" s="395">
        <v>1950</v>
      </c>
      <c r="G147" s="200">
        <v>1950</v>
      </c>
      <c r="H147" s="398" t="s">
        <v>979</v>
      </c>
      <c r="I147" s="399">
        <f t="shared" si="3"/>
        <v>0</v>
      </c>
    </row>
    <row r="148" spans="1:9">
      <c r="A148" s="360" t="s">
        <v>477</v>
      </c>
      <c r="B148" s="411" t="s">
        <v>1009</v>
      </c>
      <c r="C148" s="415">
        <v>13</v>
      </c>
      <c r="D148" s="376" t="s">
        <v>402</v>
      </c>
      <c r="E148" s="395">
        <v>1950</v>
      </c>
      <c r="F148" s="395">
        <v>1950</v>
      </c>
      <c r="G148" s="200">
        <v>1950</v>
      </c>
      <c r="H148" s="398" t="s">
        <v>979</v>
      </c>
      <c r="I148" s="399">
        <f t="shared" si="3"/>
        <v>0</v>
      </c>
    </row>
    <row r="149" spans="1:9">
      <c r="A149" s="360" t="s">
        <v>477</v>
      </c>
      <c r="B149" s="411" t="s">
        <v>1009</v>
      </c>
      <c r="C149" s="415">
        <v>14</v>
      </c>
      <c r="D149" s="376" t="s">
        <v>166</v>
      </c>
      <c r="E149" s="395">
        <v>1950</v>
      </c>
      <c r="F149" s="395">
        <v>1950</v>
      </c>
      <c r="G149" s="200">
        <v>1950</v>
      </c>
      <c r="H149" s="398" t="s">
        <v>979</v>
      </c>
      <c r="I149" s="399">
        <f t="shared" si="3"/>
        <v>0</v>
      </c>
    </row>
    <row r="150" spans="1:9">
      <c r="A150" s="360" t="s">
        <v>477</v>
      </c>
      <c r="B150" s="411" t="s">
        <v>1009</v>
      </c>
      <c r="C150" s="415">
        <v>15</v>
      </c>
      <c r="D150" s="376" t="s">
        <v>359</v>
      </c>
      <c r="E150" s="395">
        <v>1000</v>
      </c>
      <c r="F150" s="395">
        <v>1000</v>
      </c>
      <c r="G150" s="200">
        <v>1000</v>
      </c>
      <c r="H150" s="398" t="s">
        <v>979</v>
      </c>
      <c r="I150" s="399">
        <f t="shared" si="3"/>
        <v>0</v>
      </c>
    </row>
    <row r="151" spans="1:9">
      <c r="A151" s="360" t="s">
        <v>477</v>
      </c>
      <c r="B151" s="411" t="s">
        <v>1009</v>
      </c>
      <c r="C151" s="415">
        <v>16</v>
      </c>
      <c r="D151" s="354" t="s">
        <v>422</v>
      </c>
      <c r="E151" s="395">
        <v>1950</v>
      </c>
      <c r="F151" s="395">
        <v>1950</v>
      </c>
      <c r="G151" s="200">
        <v>1950</v>
      </c>
      <c r="H151" s="398" t="s">
        <v>979</v>
      </c>
      <c r="I151" s="399">
        <f t="shared" si="3"/>
        <v>0</v>
      </c>
    </row>
    <row r="152" spans="1:9">
      <c r="A152" s="360" t="s">
        <v>477</v>
      </c>
      <c r="B152" s="411" t="s">
        <v>1009</v>
      </c>
      <c r="C152" s="415">
        <v>17</v>
      </c>
      <c r="D152" s="376" t="s">
        <v>387</v>
      </c>
      <c r="E152" s="395">
        <v>1950</v>
      </c>
      <c r="F152" s="395">
        <v>1950</v>
      </c>
      <c r="G152" s="200">
        <v>1950</v>
      </c>
      <c r="H152" s="398" t="s">
        <v>979</v>
      </c>
      <c r="I152" s="399">
        <f t="shared" si="3"/>
        <v>0</v>
      </c>
    </row>
    <row r="153" spans="1:9">
      <c r="A153" s="360" t="s">
        <v>477</v>
      </c>
      <c r="B153" s="411" t="s">
        <v>1009</v>
      </c>
      <c r="C153" s="415">
        <v>18</v>
      </c>
      <c r="D153" s="376" t="s">
        <v>216</v>
      </c>
      <c r="E153" s="395">
        <v>1950</v>
      </c>
      <c r="F153" s="401">
        <v>1950</v>
      </c>
      <c r="G153" s="200">
        <v>1950</v>
      </c>
      <c r="H153" s="398" t="s">
        <v>979</v>
      </c>
      <c r="I153" s="399">
        <f t="shared" si="3"/>
        <v>0</v>
      </c>
    </row>
    <row r="154" spans="1:9">
      <c r="A154" s="360" t="s">
        <v>477</v>
      </c>
      <c r="B154" s="411" t="s">
        <v>1009</v>
      </c>
      <c r="C154" s="415">
        <v>19</v>
      </c>
      <c r="D154" s="376" t="s">
        <v>305</v>
      </c>
      <c r="E154" s="395">
        <v>1950</v>
      </c>
      <c r="F154" s="401">
        <v>1950</v>
      </c>
      <c r="G154" s="200">
        <v>1950</v>
      </c>
      <c r="H154" s="398" t="s">
        <v>979</v>
      </c>
      <c r="I154" s="399">
        <f t="shared" si="3"/>
        <v>0</v>
      </c>
    </row>
    <row r="155" spans="1:9">
      <c r="A155" s="360" t="s">
        <v>477</v>
      </c>
      <c r="B155" s="411" t="s">
        <v>1009</v>
      </c>
      <c r="C155" s="415">
        <v>20</v>
      </c>
      <c r="D155" s="376" t="s">
        <v>350</v>
      </c>
      <c r="E155" s="395">
        <v>1950</v>
      </c>
      <c r="F155" s="401">
        <v>1950</v>
      </c>
      <c r="G155" s="200">
        <v>1950</v>
      </c>
      <c r="H155" s="398" t="s">
        <v>979</v>
      </c>
      <c r="I155" s="399">
        <f t="shared" si="3"/>
        <v>0</v>
      </c>
    </row>
    <row r="156" spans="1:9">
      <c r="A156" s="360" t="s">
        <v>477</v>
      </c>
      <c r="B156" s="411" t="s">
        <v>1009</v>
      </c>
      <c r="C156" s="415">
        <v>21</v>
      </c>
      <c r="D156" s="376" t="s">
        <v>227</v>
      </c>
      <c r="E156" s="395">
        <v>1000</v>
      </c>
      <c r="F156" s="401">
        <v>1000</v>
      </c>
      <c r="G156" s="200">
        <v>1000</v>
      </c>
      <c r="H156" s="398" t="s">
        <v>979</v>
      </c>
      <c r="I156" s="399">
        <f t="shared" si="3"/>
        <v>0</v>
      </c>
    </row>
    <row r="157" spans="1:9">
      <c r="A157" s="360" t="s">
        <v>477</v>
      </c>
      <c r="B157" s="411" t="s">
        <v>1009</v>
      </c>
      <c r="C157" s="415">
        <v>22</v>
      </c>
      <c r="D157" s="354" t="s">
        <v>97</v>
      </c>
      <c r="E157" s="395">
        <v>1950</v>
      </c>
      <c r="F157" s="401">
        <v>1950</v>
      </c>
      <c r="G157" s="200">
        <v>1950</v>
      </c>
      <c r="H157" s="398" t="s">
        <v>979</v>
      </c>
      <c r="I157" s="399">
        <f t="shared" si="3"/>
        <v>0</v>
      </c>
    </row>
    <row r="158" spans="1:9">
      <c r="A158" s="360" t="s">
        <v>477</v>
      </c>
      <c r="B158" s="411" t="s">
        <v>1009</v>
      </c>
      <c r="C158" s="415">
        <v>23</v>
      </c>
      <c r="D158" s="376" t="s">
        <v>188</v>
      </c>
      <c r="E158" s="395">
        <v>1950</v>
      </c>
      <c r="F158" s="401">
        <v>1950</v>
      </c>
      <c r="G158" s="200">
        <v>1950</v>
      </c>
      <c r="H158" s="398" t="s">
        <v>979</v>
      </c>
      <c r="I158" s="399">
        <f t="shared" si="3"/>
        <v>0</v>
      </c>
    </row>
    <row r="159" spans="1:9">
      <c r="A159" s="360" t="s">
        <v>477</v>
      </c>
      <c r="B159" s="411" t="s">
        <v>1009</v>
      </c>
      <c r="C159" s="415">
        <v>24</v>
      </c>
      <c r="D159" s="376" t="s">
        <v>41</v>
      </c>
      <c r="E159" s="395">
        <v>0</v>
      </c>
      <c r="F159" s="401">
        <v>0</v>
      </c>
      <c r="G159" s="200">
        <v>0</v>
      </c>
      <c r="H159" s="398" t="s">
        <v>979</v>
      </c>
      <c r="I159" s="399">
        <f t="shared" si="3"/>
        <v>0</v>
      </c>
    </row>
    <row r="160" spans="1:9">
      <c r="A160" s="360" t="s">
        <v>477</v>
      </c>
      <c r="B160" s="411" t="s">
        <v>1009</v>
      </c>
      <c r="C160" s="415">
        <v>25</v>
      </c>
      <c r="D160" s="376" t="s">
        <v>349</v>
      </c>
      <c r="E160" s="395">
        <v>1000</v>
      </c>
      <c r="F160" s="401">
        <v>1000</v>
      </c>
      <c r="G160" s="200">
        <v>1000</v>
      </c>
      <c r="H160" s="398" t="s">
        <v>979</v>
      </c>
      <c r="I160" s="399">
        <f t="shared" si="3"/>
        <v>0</v>
      </c>
    </row>
    <row r="161" spans="1:9">
      <c r="A161" s="360" t="s">
        <v>477</v>
      </c>
      <c r="B161" s="411" t="s">
        <v>1009</v>
      </c>
      <c r="C161" s="415">
        <v>26</v>
      </c>
      <c r="D161" s="376" t="s">
        <v>315</v>
      </c>
      <c r="E161" s="395">
        <v>1950</v>
      </c>
      <c r="F161" s="401">
        <v>1950</v>
      </c>
      <c r="G161" s="200">
        <v>1950</v>
      </c>
      <c r="H161" s="398" t="s">
        <v>979</v>
      </c>
      <c r="I161" s="399">
        <f t="shared" si="3"/>
        <v>0</v>
      </c>
    </row>
    <row r="162" spans="1:9">
      <c r="A162" s="360" t="s">
        <v>477</v>
      </c>
      <c r="B162" s="411" t="s">
        <v>1009</v>
      </c>
      <c r="C162" s="415">
        <v>27</v>
      </c>
      <c r="D162" s="376" t="s">
        <v>148</v>
      </c>
      <c r="E162" s="395">
        <v>1950</v>
      </c>
      <c r="F162" s="401">
        <v>1950</v>
      </c>
      <c r="G162" s="200">
        <v>1950</v>
      </c>
      <c r="H162" s="398" t="s">
        <v>979</v>
      </c>
      <c r="I162" s="399">
        <f t="shared" si="3"/>
        <v>0</v>
      </c>
    </row>
    <row r="163" spans="1:9">
      <c r="A163" s="360" t="s">
        <v>477</v>
      </c>
      <c r="B163" s="411" t="s">
        <v>1009</v>
      </c>
      <c r="C163" s="415">
        <v>28</v>
      </c>
      <c r="D163" s="376" t="s">
        <v>214</v>
      </c>
      <c r="E163" s="395">
        <v>1950</v>
      </c>
      <c r="F163" s="401">
        <v>1950</v>
      </c>
      <c r="G163" s="200">
        <v>1950</v>
      </c>
      <c r="H163" s="398" t="s">
        <v>979</v>
      </c>
      <c r="I163" s="399">
        <f t="shared" si="3"/>
        <v>0</v>
      </c>
    </row>
    <row r="164" spans="1:9">
      <c r="A164" s="360" t="s">
        <v>477</v>
      </c>
      <c r="B164" s="411" t="s">
        <v>1009</v>
      </c>
      <c r="C164" s="415">
        <v>29</v>
      </c>
      <c r="D164" s="376" t="s">
        <v>378</v>
      </c>
      <c r="E164" s="395">
        <v>1950</v>
      </c>
      <c r="F164" s="401">
        <v>1950</v>
      </c>
      <c r="G164" s="200">
        <v>1950</v>
      </c>
      <c r="H164" s="398" t="s">
        <v>979</v>
      </c>
      <c r="I164" s="399">
        <f t="shared" si="3"/>
        <v>0</v>
      </c>
    </row>
    <row r="165" spans="1:9">
      <c r="A165" s="360" t="s">
        <v>477</v>
      </c>
      <c r="B165" s="411" t="s">
        <v>1009</v>
      </c>
      <c r="C165" s="415">
        <v>30</v>
      </c>
      <c r="D165" s="376" t="s">
        <v>374</v>
      </c>
      <c r="E165" s="395">
        <v>1950</v>
      </c>
      <c r="F165" s="401">
        <v>1950</v>
      </c>
      <c r="G165" s="200">
        <v>1950</v>
      </c>
      <c r="H165" s="398" t="s">
        <v>979</v>
      </c>
      <c r="I165" s="399">
        <f t="shared" si="3"/>
        <v>0</v>
      </c>
    </row>
    <row r="166" spans="1:9">
      <c r="A166" s="360" t="s">
        <v>477</v>
      </c>
      <c r="B166" s="411" t="s">
        <v>1009</v>
      </c>
      <c r="C166" s="415">
        <v>31</v>
      </c>
      <c r="D166" s="376" t="s">
        <v>722</v>
      </c>
      <c r="E166" s="395">
        <v>0</v>
      </c>
      <c r="F166" s="401">
        <v>0</v>
      </c>
      <c r="G166" s="200"/>
      <c r="H166" s="398" t="s">
        <v>979</v>
      </c>
      <c r="I166" s="399">
        <f t="shared" si="3"/>
        <v>0</v>
      </c>
    </row>
    <row r="167" spans="1:9">
      <c r="A167" s="360" t="s">
        <v>477</v>
      </c>
      <c r="B167" s="411" t="s">
        <v>1009</v>
      </c>
      <c r="C167" s="415">
        <v>32</v>
      </c>
      <c r="D167" s="376" t="s">
        <v>154</v>
      </c>
      <c r="E167" s="395">
        <v>1950</v>
      </c>
      <c r="F167" s="401">
        <v>1950</v>
      </c>
      <c r="G167" s="200">
        <v>1950</v>
      </c>
      <c r="H167" s="398" t="s">
        <v>979</v>
      </c>
      <c r="I167" s="399">
        <f t="shared" si="3"/>
        <v>0</v>
      </c>
    </row>
    <row r="168" spans="1:9">
      <c r="A168" s="360" t="s">
        <v>477</v>
      </c>
      <c r="B168" s="455" t="s">
        <v>972</v>
      </c>
      <c r="C168" s="456">
        <v>1</v>
      </c>
      <c r="D168" s="457" t="s">
        <v>123</v>
      </c>
      <c r="E168" s="458">
        <v>1950</v>
      </c>
      <c r="F168" s="458">
        <v>1950</v>
      </c>
      <c r="G168" s="452">
        <v>1950</v>
      </c>
      <c r="H168" s="398" t="s">
        <v>979</v>
      </c>
      <c r="I168" s="399">
        <f t="shared" si="3"/>
        <v>0</v>
      </c>
    </row>
    <row r="169" spans="1:9">
      <c r="A169" s="360" t="s">
        <v>477</v>
      </c>
      <c r="B169" s="360" t="s">
        <v>972</v>
      </c>
      <c r="C169" s="415">
        <v>2</v>
      </c>
      <c r="D169" s="354" t="s">
        <v>124</v>
      </c>
      <c r="E169" s="401">
        <v>0</v>
      </c>
      <c r="F169" s="401">
        <v>0</v>
      </c>
      <c r="G169" s="403">
        <v>0</v>
      </c>
      <c r="H169" s="398" t="s">
        <v>979</v>
      </c>
      <c r="I169" s="399">
        <f t="shared" si="3"/>
        <v>0</v>
      </c>
    </row>
    <row r="170" spans="1:9">
      <c r="A170" s="360" t="s">
        <v>477</v>
      </c>
      <c r="B170" s="360" t="s">
        <v>972</v>
      </c>
      <c r="C170" s="415">
        <v>3</v>
      </c>
      <c r="D170" s="354" t="s">
        <v>109</v>
      </c>
      <c r="E170" s="401">
        <v>1950</v>
      </c>
      <c r="F170" s="401">
        <v>1950</v>
      </c>
      <c r="G170" s="403">
        <v>1950</v>
      </c>
      <c r="H170" s="398" t="s">
        <v>979</v>
      </c>
      <c r="I170" s="399">
        <f t="shared" si="3"/>
        <v>0</v>
      </c>
    </row>
    <row r="171" spans="1:9">
      <c r="A171" s="360" t="s">
        <v>477</v>
      </c>
      <c r="B171" s="360" t="s">
        <v>972</v>
      </c>
      <c r="C171" s="415">
        <v>4</v>
      </c>
      <c r="D171" s="354" t="s">
        <v>179</v>
      </c>
      <c r="E171" s="401">
        <v>1950</v>
      </c>
      <c r="F171" s="401">
        <v>1950</v>
      </c>
      <c r="G171" s="403">
        <v>1950</v>
      </c>
      <c r="H171" s="398" t="s">
        <v>979</v>
      </c>
      <c r="I171" s="399">
        <f t="shared" si="3"/>
        <v>0</v>
      </c>
    </row>
    <row r="172" spans="1:9">
      <c r="A172" s="360" t="s">
        <v>477</v>
      </c>
      <c r="B172" s="360" t="s">
        <v>972</v>
      </c>
      <c r="C172" s="415">
        <v>5</v>
      </c>
      <c r="D172" s="354" t="s">
        <v>125</v>
      </c>
      <c r="E172" s="401">
        <v>0</v>
      </c>
      <c r="F172" s="401">
        <v>0</v>
      </c>
      <c r="G172" s="453">
        <v>0</v>
      </c>
      <c r="H172" s="398" t="s">
        <v>979</v>
      </c>
      <c r="I172" s="399">
        <f t="shared" si="3"/>
        <v>0</v>
      </c>
    </row>
    <row r="173" spans="1:9">
      <c r="A173" s="360" t="s">
        <v>477</v>
      </c>
      <c r="B173" s="360" t="s">
        <v>972</v>
      </c>
      <c r="C173" s="415">
        <v>6</v>
      </c>
      <c r="D173" s="354" t="s">
        <v>135</v>
      </c>
      <c r="E173" s="401">
        <v>1950</v>
      </c>
      <c r="F173" s="401">
        <v>1950</v>
      </c>
      <c r="G173" s="453">
        <v>1950</v>
      </c>
      <c r="H173" s="398" t="s">
        <v>979</v>
      </c>
      <c r="I173" s="399">
        <f t="shared" si="3"/>
        <v>0</v>
      </c>
    </row>
    <row r="174" spans="1:9">
      <c r="A174" s="360" t="s">
        <v>477</v>
      </c>
      <c r="B174" s="360" t="s">
        <v>972</v>
      </c>
      <c r="C174" s="415">
        <v>7</v>
      </c>
      <c r="D174" s="354" t="s">
        <v>128</v>
      </c>
      <c r="E174" s="401">
        <v>1950</v>
      </c>
      <c r="F174" s="401">
        <v>1950</v>
      </c>
      <c r="G174" s="453">
        <v>1950</v>
      </c>
      <c r="H174" s="398" t="s">
        <v>979</v>
      </c>
      <c r="I174" s="399">
        <f t="shared" si="3"/>
        <v>0</v>
      </c>
    </row>
    <row r="175" spans="1:9">
      <c r="A175" s="360" t="s">
        <v>477</v>
      </c>
      <c r="B175" s="360" t="s">
        <v>972</v>
      </c>
      <c r="C175" s="415">
        <v>8</v>
      </c>
      <c r="D175" s="354" t="s">
        <v>129</v>
      </c>
      <c r="E175" s="401">
        <v>1950</v>
      </c>
      <c r="F175" s="401">
        <v>1950</v>
      </c>
      <c r="G175" s="453">
        <v>1950</v>
      </c>
      <c r="H175" s="398" t="s">
        <v>979</v>
      </c>
      <c r="I175" s="399">
        <f t="shared" si="3"/>
        <v>0</v>
      </c>
    </row>
    <row r="176" spans="1:9">
      <c r="A176" s="360" t="s">
        <v>477</v>
      </c>
      <c r="B176" s="360" t="s">
        <v>972</v>
      </c>
      <c r="C176" s="415">
        <v>9</v>
      </c>
      <c r="D176" s="354" t="s">
        <v>130</v>
      </c>
      <c r="E176" s="401">
        <v>1950</v>
      </c>
      <c r="F176" s="401">
        <v>1950</v>
      </c>
      <c r="G176" s="453">
        <v>1950</v>
      </c>
      <c r="H176" s="398" t="s">
        <v>979</v>
      </c>
      <c r="I176" s="399">
        <f t="shared" si="3"/>
        <v>0</v>
      </c>
    </row>
    <row r="177" spans="1:9">
      <c r="A177" s="360" t="s">
        <v>477</v>
      </c>
      <c r="B177" s="360" t="s">
        <v>972</v>
      </c>
      <c r="C177" s="415">
        <v>10</v>
      </c>
      <c r="D177" s="354" t="s">
        <v>114</v>
      </c>
      <c r="E177" s="401">
        <v>0</v>
      </c>
      <c r="F177" s="401">
        <v>0</v>
      </c>
      <c r="G177" s="453"/>
      <c r="H177" s="398" t="s">
        <v>979</v>
      </c>
      <c r="I177" s="399">
        <f t="shared" si="3"/>
        <v>0</v>
      </c>
    </row>
    <row r="178" spans="1:9">
      <c r="A178" s="360" t="s">
        <v>477</v>
      </c>
      <c r="B178" s="360" t="s">
        <v>972</v>
      </c>
      <c r="C178" s="415">
        <v>11</v>
      </c>
      <c r="D178" s="354" t="s">
        <v>47</v>
      </c>
      <c r="E178" s="401">
        <v>1950</v>
      </c>
      <c r="F178" s="401">
        <v>1950</v>
      </c>
      <c r="G178" s="453">
        <v>1950</v>
      </c>
      <c r="H178" s="398" t="s">
        <v>979</v>
      </c>
      <c r="I178" s="399">
        <f t="shared" si="3"/>
        <v>0</v>
      </c>
    </row>
    <row r="179" spans="1:9">
      <c r="A179" s="360" t="s">
        <v>477</v>
      </c>
      <c r="B179" s="360" t="s">
        <v>972</v>
      </c>
      <c r="C179" s="415">
        <v>12</v>
      </c>
      <c r="D179" s="354" t="s">
        <v>171</v>
      </c>
      <c r="E179" s="401">
        <v>1950</v>
      </c>
      <c r="F179" s="401">
        <v>1950</v>
      </c>
      <c r="G179" s="453">
        <v>1950</v>
      </c>
      <c r="H179" s="398" t="s">
        <v>979</v>
      </c>
      <c r="I179" s="399">
        <f t="shared" si="3"/>
        <v>0</v>
      </c>
    </row>
    <row r="180" spans="1:9">
      <c r="A180" s="360" t="s">
        <v>477</v>
      </c>
      <c r="B180" s="360" t="s">
        <v>972</v>
      </c>
      <c r="C180" s="415">
        <v>13</v>
      </c>
      <c r="D180" s="354" t="s">
        <v>182</v>
      </c>
      <c r="E180" s="401">
        <v>1950</v>
      </c>
      <c r="F180" s="401">
        <v>1950</v>
      </c>
      <c r="G180" s="453">
        <v>1950</v>
      </c>
      <c r="H180" s="398" t="s">
        <v>979</v>
      </c>
      <c r="I180" s="399">
        <f t="shared" si="3"/>
        <v>0</v>
      </c>
    </row>
    <row r="181" spans="1:9">
      <c r="A181" s="360" t="s">
        <v>477</v>
      </c>
      <c r="B181" s="360" t="s">
        <v>972</v>
      </c>
      <c r="C181" s="415">
        <v>14</v>
      </c>
      <c r="D181" s="354" t="s">
        <v>226</v>
      </c>
      <c r="E181" s="401">
        <v>1950</v>
      </c>
      <c r="F181" s="401">
        <v>1950</v>
      </c>
      <c r="G181" s="453">
        <v>1950</v>
      </c>
      <c r="H181" s="398" t="s">
        <v>979</v>
      </c>
      <c r="I181" s="399">
        <f t="shared" si="3"/>
        <v>0</v>
      </c>
    </row>
    <row r="182" spans="1:9">
      <c r="A182" s="360" t="s">
        <v>477</v>
      </c>
      <c r="B182" s="360" t="s">
        <v>972</v>
      </c>
      <c r="C182" s="415">
        <v>15</v>
      </c>
      <c r="D182" s="354" t="s">
        <v>79</v>
      </c>
      <c r="E182" s="401">
        <v>1700</v>
      </c>
      <c r="F182" s="401">
        <v>1700</v>
      </c>
      <c r="G182" s="403">
        <v>1700</v>
      </c>
      <c r="H182" s="398" t="s">
        <v>979</v>
      </c>
      <c r="I182" s="399">
        <f t="shared" si="3"/>
        <v>0</v>
      </c>
    </row>
    <row r="183" spans="1:9">
      <c r="A183" s="360" t="s">
        <v>477</v>
      </c>
      <c r="B183" s="360" t="s">
        <v>972</v>
      </c>
      <c r="C183" s="415">
        <v>16</v>
      </c>
      <c r="D183" s="354" t="s">
        <v>218</v>
      </c>
      <c r="E183" s="401">
        <v>1950</v>
      </c>
      <c r="F183" s="401">
        <v>1950</v>
      </c>
      <c r="G183" s="403">
        <v>1950</v>
      </c>
      <c r="H183" s="398" t="s">
        <v>979</v>
      </c>
      <c r="I183" s="399">
        <f t="shared" si="3"/>
        <v>0</v>
      </c>
    </row>
    <row r="184" spans="1:9">
      <c r="A184" s="360" t="s">
        <v>477</v>
      </c>
      <c r="B184" s="360" t="s">
        <v>972</v>
      </c>
      <c r="C184" s="415">
        <v>17</v>
      </c>
      <c r="D184" s="354" t="s">
        <v>317</v>
      </c>
      <c r="E184" s="401">
        <v>1950</v>
      </c>
      <c r="F184" s="401">
        <v>1950</v>
      </c>
      <c r="G184" s="403">
        <v>1950</v>
      </c>
      <c r="H184" s="398" t="s">
        <v>979</v>
      </c>
      <c r="I184" s="399">
        <f t="shared" si="3"/>
        <v>0</v>
      </c>
    </row>
    <row r="185" spans="1:9">
      <c r="A185" s="360" t="s">
        <v>477</v>
      </c>
      <c r="B185" s="360" t="s">
        <v>972</v>
      </c>
      <c r="C185" s="415">
        <v>18</v>
      </c>
      <c r="D185" s="354" t="s">
        <v>321</v>
      </c>
      <c r="E185" s="401">
        <v>1950</v>
      </c>
      <c r="F185" s="401">
        <v>1950</v>
      </c>
      <c r="G185" s="403">
        <v>1950</v>
      </c>
      <c r="H185" s="398" t="s">
        <v>979</v>
      </c>
      <c r="I185" s="399">
        <f t="shared" si="3"/>
        <v>0</v>
      </c>
    </row>
    <row r="186" spans="1:9">
      <c r="A186" s="360" t="s">
        <v>477</v>
      </c>
      <c r="B186" s="360" t="s">
        <v>972</v>
      </c>
      <c r="C186" s="415">
        <v>19</v>
      </c>
      <c r="D186" s="376" t="s">
        <v>301</v>
      </c>
      <c r="E186" s="401">
        <v>1950</v>
      </c>
      <c r="F186" s="401">
        <v>1950</v>
      </c>
      <c r="G186" s="403">
        <v>1950</v>
      </c>
      <c r="H186" s="398" t="s">
        <v>979</v>
      </c>
      <c r="I186" s="399">
        <f t="shared" si="3"/>
        <v>0</v>
      </c>
    </row>
    <row r="187" spans="1:9">
      <c r="A187" s="360" t="s">
        <v>477</v>
      </c>
      <c r="B187" s="360" t="s">
        <v>972</v>
      </c>
      <c r="C187" s="415">
        <v>20</v>
      </c>
      <c r="D187" s="354" t="s">
        <v>330</v>
      </c>
      <c r="E187" s="401">
        <v>1000</v>
      </c>
      <c r="F187" s="401">
        <v>1000</v>
      </c>
      <c r="G187" s="403">
        <v>1000</v>
      </c>
      <c r="H187" s="398" t="s">
        <v>979</v>
      </c>
      <c r="I187" s="399">
        <f t="shared" si="3"/>
        <v>0</v>
      </c>
    </row>
    <row r="188" spans="1:9">
      <c r="A188" s="360" t="s">
        <v>477</v>
      </c>
      <c r="B188" s="360" t="s">
        <v>972</v>
      </c>
      <c r="C188" s="415">
        <v>21</v>
      </c>
      <c r="D188" s="354" t="s">
        <v>338</v>
      </c>
      <c r="E188" s="401">
        <v>1950</v>
      </c>
      <c r="F188" s="401">
        <v>1950</v>
      </c>
      <c r="G188" s="403">
        <v>1950</v>
      </c>
      <c r="H188" s="398" t="s">
        <v>979</v>
      </c>
      <c r="I188" s="399">
        <f t="shared" si="3"/>
        <v>0</v>
      </c>
    </row>
    <row r="189" spans="1:9">
      <c r="A189" s="360" t="s">
        <v>477</v>
      </c>
      <c r="B189" s="360" t="s">
        <v>972</v>
      </c>
      <c r="C189" s="415">
        <v>22</v>
      </c>
      <c r="D189" s="354" t="s">
        <v>396</v>
      </c>
      <c r="E189" s="401">
        <v>1950</v>
      </c>
      <c r="F189" s="401">
        <v>1950</v>
      </c>
      <c r="G189" s="403">
        <v>1950</v>
      </c>
      <c r="H189" s="398" t="s">
        <v>979</v>
      </c>
      <c r="I189" s="399">
        <f t="shared" si="3"/>
        <v>0</v>
      </c>
    </row>
    <row r="190" spans="1:9">
      <c r="A190" s="360" t="s">
        <v>477</v>
      </c>
      <c r="B190" s="360" t="s">
        <v>972</v>
      </c>
      <c r="C190" s="415">
        <v>24</v>
      </c>
      <c r="D190" s="354" t="s">
        <v>726</v>
      </c>
      <c r="E190" s="401">
        <v>1950</v>
      </c>
      <c r="F190" s="401">
        <v>1950</v>
      </c>
      <c r="G190" s="453">
        <v>1950</v>
      </c>
      <c r="H190" s="398" t="s">
        <v>979</v>
      </c>
      <c r="I190" s="399">
        <f t="shared" si="3"/>
        <v>0</v>
      </c>
    </row>
    <row r="191" spans="1:9">
      <c r="A191" s="360" t="s">
        <v>477</v>
      </c>
      <c r="B191" s="360" t="s">
        <v>972</v>
      </c>
      <c r="C191" s="415">
        <v>25</v>
      </c>
      <c r="D191" s="354" t="s">
        <v>46</v>
      </c>
      <c r="E191" s="401">
        <v>1000</v>
      </c>
      <c r="F191" s="401">
        <v>1000</v>
      </c>
      <c r="G191" s="453">
        <v>1000</v>
      </c>
      <c r="H191" s="398" t="s">
        <v>979</v>
      </c>
      <c r="I191" s="399">
        <f t="shared" si="3"/>
        <v>0</v>
      </c>
    </row>
    <row r="192" spans="1:9">
      <c r="A192" s="360" t="s">
        <v>477</v>
      </c>
      <c r="B192" s="360" t="s">
        <v>972</v>
      </c>
      <c r="C192" s="415">
        <v>26</v>
      </c>
      <c r="D192" s="354" t="s">
        <v>807</v>
      </c>
      <c r="E192" s="401">
        <v>1950</v>
      </c>
      <c r="F192" s="401">
        <v>1950</v>
      </c>
      <c r="G192" s="453">
        <v>1950</v>
      </c>
      <c r="H192" s="398" t="s">
        <v>979</v>
      </c>
      <c r="I192" s="399">
        <f t="shared" si="3"/>
        <v>0</v>
      </c>
    </row>
    <row r="193" spans="1:9">
      <c r="A193" s="360" t="s">
        <v>477</v>
      </c>
      <c r="B193" s="360" t="s">
        <v>972</v>
      </c>
      <c r="C193" s="415">
        <v>27</v>
      </c>
      <c r="D193" s="354" t="s">
        <v>887</v>
      </c>
      <c r="E193" s="401">
        <v>0</v>
      </c>
      <c r="F193" s="401">
        <v>0</v>
      </c>
      <c r="G193" s="453">
        <v>0</v>
      </c>
      <c r="H193" s="398" t="s">
        <v>979</v>
      </c>
      <c r="I193" s="399">
        <f t="shared" si="3"/>
        <v>0</v>
      </c>
    </row>
    <row r="194" spans="1:9">
      <c r="A194" s="360" t="s">
        <v>477</v>
      </c>
      <c r="B194" s="360" t="s">
        <v>972</v>
      </c>
      <c r="C194" s="415">
        <v>28</v>
      </c>
      <c r="D194" s="354" t="s">
        <v>888</v>
      </c>
      <c r="E194" s="401">
        <v>1950</v>
      </c>
      <c r="F194" s="401">
        <v>1950</v>
      </c>
      <c r="G194" s="453">
        <v>1950</v>
      </c>
      <c r="H194" s="398" t="s">
        <v>979</v>
      </c>
      <c r="I194" s="399">
        <f t="shared" ref="I194:I221" si="4">F194-G194</f>
        <v>0</v>
      </c>
    </row>
    <row r="195" spans="1:9">
      <c r="A195" s="360" t="s">
        <v>477</v>
      </c>
      <c r="B195" s="360" t="s">
        <v>972</v>
      </c>
      <c r="C195" s="415">
        <v>29</v>
      </c>
      <c r="D195" s="354" t="s">
        <v>889</v>
      </c>
      <c r="E195" s="401">
        <v>1000</v>
      </c>
      <c r="F195" s="401">
        <v>1000</v>
      </c>
      <c r="G195" s="453">
        <v>1000</v>
      </c>
      <c r="H195" s="398" t="s">
        <v>979</v>
      </c>
      <c r="I195" s="399">
        <f t="shared" si="4"/>
        <v>0</v>
      </c>
    </row>
    <row r="196" spans="1:9">
      <c r="A196" s="360" t="s">
        <v>477</v>
      </c>
      <c r="B196" s="455" t="s">
        <v>973</v>
      </c>
      <c r="C196" s="456">
        <v>1</v>
      </c>
      <c r="D196" s="457" t="s">
        <v>93</v>
      </c>
      <c r="E196" s="458">
        <v>1950</v>
      </c>
      <c r="F196" s="458">
        <v>1950</v>
      </c>
      <c r="G196" s="454">
        <v>1950</v>
      </c>
      <c r="H196" s="398" t="s">
        <v>979</v>
      </c>
      <c r="I196" s="399">
        <f t="shared" si="4"/>
        <v>0</v>
      </c>
    </row>
    <row r="197" spans="1:9">
      <c r="A197" s="360" t="s">
        <v>477</v>
      </c>
      <c r="B197" s="360" t="s">
        <v>973</v>
      </c>
      <c r="C197" s="415">
        <v>2</v>
      </c>
      <c r="D197" s="354" t="s">
        <v>373</v>
      </c>
      <c r="E197" s="401">
        <v>1950</v>
      </c>
      <c r="F197" s="401">
        <v>1950</v>
      </c>
      <c r="G197" s="71">
        <v>1950</v>
      </c>
      <c r="H197" s="398" t="s">
        <v>979</v>
      </c>
      <c r="I197" s="399">
        <f t="shared" si="4"/>
        <v>0</v>
      </c>
    </row>
    <row r="198" spans="1:9">
      <c r="A198" s="360" t="s">
        <v>477</v>
      </c>
      <c r="B198" s="360" t="s">
        <v>973</v>
      </c>
      <c r="C198" s="415">
        <v>3</v>
      </c>
      <c r="D198" s="354" t="s">
        <v>96</v>
      </c>
      <c r="E198" s="401">
        <v>0</v>
      </c>
      <c r="F198" s="401">
        <v>0</v>
      </c>
      <c r="G198" s="71">
        <v>0</v>
      </c>
      <c r="H198" s="398" t="s">
        <v>979</v>
      </c>
      <c r="I198" s="399">
        <f t="shared" si="4"/>
        <v>0</v>
      </c>
    </row>
    <row r="199" spans="1:9">
      <c r="A199" s="360" t="s">
        <v>477</v>
      </c>
      <c r="B199" s="360" t="s">
        <v>973</v>
      </c>
      <c r="C199" s="415">
        <v>4</v>
      </c>
      <c r="D199" s="354" t="s">
        <v>46</v>
      </c>
      <c r="E199" s="401">
        <v>1950</v>
      </c>
      <c r="F199" s="401">
        <v>1950</v>
      </c>
      <c r="G199" s="403">
        <v>1950</v>
      </c>
      <c r="H199" s="398" t="s">
        <v>979</v>
      </c>
      <c r="I199" s="399">
        <f t="shared" si="4"/>
        <v>0</v>
      </c>
    </row>
    <row r="200" spans="1:9">
      <c r="A200" s="360" t="s">
        <v>477</v>
      </c>
      <c r="B200" s="360" t="s">
        <v>973</v>
      </c>
      <c r="C200" s="415">
        <v>5</v>
      </c>
      <c r="D200" s="354" t="s">
        <v>99</v>
      </c>
      <c r="E200" s="401">
        <v>1950</v>
      </c>
      <c r="F200" s="401">
        <v>1950</v>
      </c>
      <c r="G200" s="403">
        <v>1950</v>
      </c>
      <c r="H200" s="398" t="s">
        <v>979</v>
      </c>
      <c r="I200" s="399">
        <f t="shared" si="4"/>
        <v>0</v>
      </c>
    </row>
    <row r="201" spans="1:9">
      <c r="A201" s="360" t="s">
        <v>477</v>
      </c>
      <c r="B201" s="360" t="s">
        <v>973</v>
      </c>
      <c r="C201" s="415">
        <v>6</v>
      </c>
      <c r="D201" s="354" t="s">
        <v>54</v>
      </c>
      <c r="E201" s="401">
        <v>1950</v>
      </c>
      <c r="F201" s="401">
        <v>1950</v>
      </c>
      <c r="G201" s="403">
        <v>1950</v>
      </c>
      <c r="H201" s="398" t="s">
        <v>979</v>
      </c>
      <c r="I201" s="399">
        <f t="shared" si="4"/>
        <v>0</v>
      </c>
    </row>
    <row r="202" spans="1:9">
      <c r="A202" s="360" t="s">
        <v>477</v>
      </c>
      <c r="B202" s="360" t="s">
        <v>973</v>
      </c>
      <c r="C202" s="415">
        <v>7</v>
      </c>
      <c r="D202" s="354" t="s">
        <v>61</v>
      </c>
      <c r="E202" s="401">
        <v>1950</v>
      </c>
      <c r="F202" s="401">
        <v>1950</v>
      </c>
      <c r="G202" s="403">
        <v>1950</v>
      </c>
      <c r="H202" s="398" t="s">
        <v>979</v>
      </c>
      <c r="I202" s="399">
        <f t="shared" si="4"/>
        <v>0</v>
      </c>
    </row>
    <row r="203" spans="1:9">
      <c r="A203" s="360" t="s">
        <v>477</v>
      </c>
      <c r="B203" s="360" t="s">
        <v>973</v>
      </c>
      <c r="C203" s="415">
        <v>8</v>
      </c>
      <c r="D203" s="354" t="s">
        <v>62</v>
      </c>
      <c r="E203" s="401">
        <v>1950</v>
      </c>
      <c r="F203" s="401">
        <v>1950</v>
      </c>
      <c r="G203" s="403">
        <v>1950</v>
      </c>
      <c r="H203" s="398" t="s">
        <v>979</v>
      </c>
      <c r="I203" s="399">
        <f t="shared" si="4"/>
        <v>0</v>
      </c>
    </row>
    <row r="204" spans="1:9">
      <c r="A204" s="360" t="s">
        <v>477</v>
      </c>
      <c r="B204" s="360" t="s">
        <v>973</v>
      </c>
      <c r="C204" s="415">
        <v>9</v>
      </c>
      <c r="D204" s="354" t="s">
        <v>105</v>
      </c>
      <c r="E204" s="401">
        <v>1950</v>
      </c>
      <c r="F204" s="401">
        <v>1950</v>
      </c>
      <c r="G204" s="403">
        <v>1950</v>
      </c>
      <c r="H204" s="398" t="s">
        <v>979</v>
      </c>
      <c r="I204" s="399">
        <f t="shared" si="4"/>
        <v>0</v>
      </c>
    </row>
    <row r="205" spans="1:9">
      <c r="A205" s="360" t="s">
        <v>477</v>
      </c>
      <c r="B205" s="360" t="s">
        <v>973</v>
      </c>
      <c r="C205" s="415">
        <v>10</v>
      </c>
      <c r="D205" s="354" t="s">
        <v>107</v>
      </c>
      <c r="E205" s="401">
        <v>1950</v>
      </c>
      <c r="F205" s="401">
        <v>1950</v>
      </c>
      <c r="G205" s="403">
        <v>1950</v>
      </c>
      <c r="H205" s="398" t="s">
        <v>979</v>
      </c>
      <c r="I205" s="399">
        <f t="shared" si="4"/>
        <v>0</v>
      </c>
    </row>
    <row r="206" spans="1:9">
      <c r="A206" s="360" t="s">
        <v>477</v>
      </c>
      <c r="B206" s="360" t="s">
        <v>973</v>
      </c>
      <c r="C206" s="415">
        <v>11</v>
      </c>
      <c r="D206" s="354" t="s">
        <v>41</v>
      </c>
      <c r="E206" s="401">
        <v>1950</v>
      </c>
      <c r="F206" s="401">
        <v>1950</v>
      </c>
      <c r="G206" s="403">
        <v>1950</v>
      </c>
      <c r="H206" s="398" t="s">
        <v>979</v>
      </c>
      <c r="I206" s="399">
        <f t="shared" si="4"/>
        <v>0</v>
      </c>
    </row>
    <row r="207" spans="1:9">
      <c r="A207" s="360" t="s">
        <v>477</v>
      </c>
      <c r="B207" s="360" t="s">
        <v>973</v>
      </c>
      <c r="C207" s="415">
        <v>12</v>
      </c>
      <c r="D207" s="354" t="s">
        <v>111</v>
      </c>
      <c r="E207" s="401">
        <v>1950</v>
      </c>
      <c r="F207" s="401">
        <v>1950</v>
      </c>
      <c r="G207" s="403">
        <v>1950</v>
      </c>
      <c r="H207" s="398" t="s">
        <v>979</v>
      </c>
      <c r="I207" s="399">
        <f t="shared" si="4"/>
        <v>0</v>
      </c>
    </row>
    <row r="208" spans="1:9">
      <c r="A208" s="360" t="s">
        <v>477</v>
      </c>
      <c r="B208" s="360" t="s">
        <v>973</v>
      </c>
      <c r="C208" s="415">
        <v>13</v>
      </c>
      <c r="D208" s="354" t="s">
        <v>68</v>
      </c>
      <c r="E208" s="401">
        <v>1950</v>
      </c>
      <c r="F208" s="401">
        <v>1950</v>
      </c>
      <c r="G208" s="403">
        <v>1950</v>
      </c>
      <c r="H208" s="398" t="s">
        <v>979</v>
      </c>
      <c r="I208" s="399">
        <f t="shared" si="4"/>
        <v>0</v>
      </c>
    </row>
    <row r="209" spans="1:12">
      <c r="A209" s="360" t="s">
        <v>477</v>
      </c>
      <c r="B209" s="360" t="s">
        <v>973</v>
      </c>
      <c r="C209" s="415">
        <v>14</v>
      </c>
      <c r="D209" s="354" t="s">
        <v>121</v>
      </c>
      <c r="E209" s="401">
        <v>1950</v>
      </c>
      <c r="F209" s="401">
        <v>1950</v>
      </c>
      <c r="G209" s="403">
        <v>1950</v>
      </c>
      <c r="H209" s="398" t="s">
        <v>979</v>
      </c>
      <c r="I209" s="399">
        <f t="shared" si="4"/>
        <v>0</v>
      </c>
    </row>
    <row r="210" spans="1:12">
      <c r="A210" s="360" t="s">
        <v>477</v>
      </c>
      <c r="B210" s="360" t="s">
        <v>973</v>
      </c>
      <c r="C210" s="415">
        <v>15</v>
      </c>
      <c r="D210" s="354" t="s">
        <v>115</v>
      </c>
      <c r="E210" s="401">
        <v>1950</v>
      </c>
      <c r="F210" s="401">
        <v>1950</v>
      </c>
      <c r="G210" s="403">
        <v>1950</v>
      </c>
      <c r="H210" s="398" t="s">
        <v>979</v>
      </c>
      <c r="I210" s="399">
        <f t="shared" si="4"/>
        <v>0</v>
      </c>
      <c r="L210" s="403"/>
    </row>
    <row r="211" spans="1:12">
      <c r="A211" s="360" t="s">
        <v>477</v>
      </c>
      <c r="B211" s="360" t="s">
        <v>973</v>
      </c>
      <c r="C211" s="415">
        <v>16</v>
      </c>
      <c r="D211" s="354" t="s">
        <v>146</v>
      </c>
      <c r="E211" s="401">
        <v>1950</v>
      </c>
      <c r="F211" s="401">
        <v>1950</v>
      </c>
      <c r="G211" s="403">
        <v>1950</v>
      </c>
      <c r="H211" s="398" t="s">
        <v>979</v>
      </c>
      <c r="I211" s="399">
        <f t="shared" si="4"/>
        <v>0</v>
      </c>
    </row>
    <row r="212" spans="1:12">
      <c r="A212" s="360" t="s">
        <v>477</v>
      </c>
      <c r="B212" s="360" t="s">
        <v>973</v>
      </c>
      <c r="C212" s="415">
        <v>17</v>
      </c>
      <c r="D212" s="354" t="s">
        <v>230</v>
      </c>
      <c r="E212" s="401">
        <v>1950</v>
      </c>
      <c r="F212" s="401">
        <v>1950</v>
      </c>
      <c r="G212" s="403">
        <v>1950</v>
      </c>
      <c r="H212" s="398" t="s">
        <v>979</v>
      </c>
      <c r="I212" s="399">
        <f t="shared" si="4"/>
        <v>0</v>
      </c>
    </row>
    <row r="213" spans="1:12">
      <c r="A213" s="360" t="s">
        <v>477</v>
      </c>
      <c r="B213" s="360" t="s">
        <v>973</v>
      </c>
      <c r="C213" s="415">
        <v>18</v>
      </c>
      <c r="D213" s="354" t="s">
        <v>729</v>
      </c>
      <c r="E213" s="401">
        <v>1950</v>
      </c>
      <c r="F213" s="401">
        <v>1950</v>
      </c>
      <c r="G213" s="403">
        <v>1950</v>
      </c>
      <c r="H213" s="398" t="s">
        <v>979</v>
      </c>
      <c r="I213" s="399">
        <f t="shared" si="4"/>
        <v>0</v>
      </c>
    </row>
    <row r="214" spans="1:12">
      <c r="A214" s="360" t="s">
        <v>477</v>
      </c>
      <c r="B214" s="360" t="s">
        <v>973</v>
      </c>
      <c r="C214" s="415">
        <v>19</v>
      </c>
      <c r="D214" s="354" t="s">
        <v>941</v>
      </c>
      <c r="E214" s="401">
        <v>1950</v>
      </c>
      <c r="F214" s="401">
        <v>1950</v>
      </c>
      <c r="G214" s="403">
        <v>1950</v>
      </c>
      <c r="H214" s="398" t="s">
        <v>979</v>
      </c>
      <c r="I214" s="399">
        <f t="shared" si="4"/>
        <v>0</v>
      </c>
    </row>
    <row r="215" spans="1:12">
      <c r="A215" s="360" t="s">
        <v>477</v>
      </c>
      <c r="B215" s="360" t="s">
        <v>973</v>
      </c>
      <c r="C215" s="415">
        <v>20</v>
      </c>
      <c r="D215" s="354" t="s">
        <v>942</v>
      </c>
      <c r="E215" s="401">
        <v>1000</v>
      </c>
      <c r="F215" s="401">
        <v>1000</v>
      </c>
      <c r="G215" s="403">
        <v>1000</v>
      </c>
      <c r="H215" s="398" t="s">
        <v>979</v>
      </c>
      <c r="I215" s="399">
        <f t="shared" si="4"/>
        <v>0</v>
      </c>
    </row>
    <row r="216" spans="1:12">
      <c r="A216" s="455" t="s">
        <v>477</v>
      </c>
      <c r="B216" s="455" t="s">
        <v>974</v>
      </c>
      <c r="C216" s="456">
        <v>1</v>
      </c>
      <c r="D216" s="457" t="s">
        <v>8</v>
      </c>
      <c r="E216" s="458">
        <v>1950</v>
      </c>
      <c r="F216" s="458">
        <v>1950</v>
      </c>
      <c r="G216" s="452">
        <v>1950</v>
      </c>
      <c r="H216" s="398" t="s">
        <v>979</v>
      </c>
      <c r="I216" s="399">
        <f t="shared" si="4"/>
        <v>0</v>
      </c>
    </row>
    <row r="217" spans="1:12">
      <c r="A217" s="360" t="s">
        <v>477</v>
      </c>
      <c r="B217" s="360" t="s">
        <v>974</v>
      </c>
      <c r="C217" s="415">
        <v>2</v>
      </c>
      <c r="D217" s="361" t="s">
        <v>12</v>
      </c>
      <c r="E217" s="401">
        <v>1500</v>
      </c>
      <c r="F217" s="399">
        <v>1500</v>
      </c>
      <c r="G217" s="403">
        <v>1500</v>
      </c>
      <c r="H217" s="398" t="s">
        <v>979</v>
      </c>
      <c r="I217" s="399">
        <f t="shared" si="4"/>
        <v>0</v>
      </c>
    </row>
    <row r="218" spans="1:12">
      <c r="A218" s="360" t="s">
        <v>477</v>
      </c>
      <c r="B218" s="360" t="s">
        <v>974</v>
      </c>
      <c r="C218" s="415">
        <v>3</v>
      </c>
      <c r="D218" s="354" t="s">
        <v>15</v>
      </c>
      <c r="E218" s="401">
        <v>0</v>
      </c>
      <c r="F218" s="399">
        <v>0</v>
      </c>
      <c r="G218" s="71">
        <v>0</v>
      </c>
      <c r="H218" s="398" t="s">
        <v>979</v>
      </c>
      <c r="I218" s="399">
        <f t="shared" si="4"/>
        <v>0</v>
      </c>
    </row>
    <row r="219" spans="1:12">
      <c r="A219" s="360" t="s">
        <v>477</v>
      </c>
      <c r="B219" s="360" t="s">
        <v>974</v>
      </c>
      <c r="C219" s="415">
        <v>4</v>
      </c>
      <c r="D219" s="354" t="s">
        <v>19</v>
      </c>
      <c r="E219" s="401">
        <v>1950</v>
      </c>
      <c r="F219" s="399">
        <v>1950</v>
      </c>
      <c r="G219" s="71">
        <v>1950</v>
      </c>
      <c r="H219" s="398" t="s">
        <v>979</v>
      </c>
      <c r="I219" s="399">
        <f t="shared" si="4"/>
        <v>0</v>
      </c>
    </row>
    <row r="220" spans="1:12">
      <c r="A220" s="360" t="s">
        <v>477</v>
      </c>
      <c r="B220" s="360" t="s">
        <v>974</v>
      </c>
      <c r="C220" s="415">
        <v>5</v>
      </c>
      <c r="D220" s="354" t="s">
        <v>23</v>
      </c>
      <c r="E220" s="401">
        <v>0</v>
      </c>
      <c r="F220" s="399">
        <v>0</v>
      </c>
      <c r="G220" s="71">
        <v>0</v>
      </c>
      <c r="H220" s="398" t="s">
        <v>979</v>
      </c>
      <c r="I220" s="399">
        <f t="shared" si="4"/>
        <v>0</v>
      </c>
    </row>
    <row r="221" spans="1:12">
      <c r="A221" s="360" t="s">
        <v>477</v>
      </c>
      <c r="B221" s="360" t="s">
        <v>974</v>
      </c>
      <c r="C221" s="415">
        <v>6</v>
      </c>
      <c r="D221" s="354" t="s">
        <v>27</v>
      </c>
      <c r="E221" s="401">
        <v>1950</v>
      </c>
      <c r="F221" s="399">
        <v>1950</v>
      </c>
      <c r="G221" s="71">
        <v>1950</v>
      </c>
      <c r="H221" s="398" t="s">
        <v>979</v>
      </c>
      <c r="I221" s="399">
        <f t="shared" si="4"/>
        <v>0</v>
      </c>
    </row>
    <row r="222" spans="1:12">
      <c r="A222" s="360" t="s">
        <v>477</v>
      </c>
      <c r="B222" s="360" t="s">
        <v>974</v>
      </c>
      <c r="C222" s="415">
        <v>7</v>
      </c>
      <c r="D222" s="354" t="s">
        <v>31</v>
      </c>
      <c r="E222" s="401">
        <v>1950</v>
      </c>
      <c r="F222" s="399">
        <v>1950</v>
      </c>
      <c r="G222" s="71">
        <v>1950</v>
      </c>
      <c r="H222" s="398" t="s">
        <v>979</v>
      </c>
      <c r="I222" s="399">
        <f t="shared" ref="I222:I235" si="5">F222-G222</f>
        <v>0</v>
      </c>
    </row>
    <row r="223" spans="1:12">
      <c r="A223" s="360" t="s">
        <v>477</v>
      </c>
      <c r="B223" s="360" t="s">
        <v>974</v>
      </c>
      <c r="C223" s="415">
        <v>8</v>
      </c>
      <c r="D223" s="354" t="s">
        <v>34</v>
      </c>
      <c r="E223" s="401">
        <v>1950</v>
      </c>
      <c r="F223" s="399">
        <v>1950</v>
      </c>
      <c r="G223" s="71">
        <v>1950</v>
      </c>
      <c r="H223" s="398" t="s">
        <v>979</v>
      </c>
      <c r="I223" s="399">
        <f t="shared" si="5"/>
        <v>0</v>
      </c>
    </row>
    <row r="224" spans="1:12">
      <c r="A224" s="360" t="s">
        <v>477</v>
      </c>
      <c r="B224" s="360" t="s">
        <v>974</v>
      </c>
      <c r="C224" s="415">
        <v>9</v>
      </c>
      <c r="D224" s="354" t="s">
        <v>38</v>
      </c>
      <c r="E224" s="401">
        <v>1950</v>
      </c>
      <c r="F224" s="399">
        <v>1950</v>
      </c>
      <c r="G224" s="71">
        <v>1950</v>
      </c>
      <c r="H224" s="398" t="s">
        <v>979</v>
      </c>
      <c r="I224" s="399">
        <f t="shared" si="5"/>
        <v>0</v>
      </c>
    </row>
    <row r="225" spans="1:9">
      <c r="A225" s="360" t="s">
        <v>477</v>
      </c>
      <c r="B225" s="360" t="s">
        <v>974</v>
      </c>
      <c r="C225" s="415">
        <v>10</v>
      </c>
      <c r="D225" s="354" t="s">
        <v>42</v>
      </c>
      <c r="E225" s="401">
        <v>1950</v>
      </c>
      <c r="F225" s="399">
        <v>1950</v>
      </c>
      <c r="G225" s="71">
        <v>1950</v>
      </c>
      <c r="H225" s="398" t="s">
        <v>979</v>
      </c>
      <c r="I225" s="399">
        <f t="shared" si="5"/>
        <v>0</v>
      </c>
    </row>
    <row r="226" spans="1:9">
      <c r="A226" s="360" t="s">
        <v>477</v>
      </c>
      <c r="B226" s="360" t="s">
        <v>974</v>
      </c>
      <c r="C226" s="415">
        <v>11</v>
      </c>
      <c r="D226" s="354" t="s">
        <v>49</v>
      </c>
      <c r="E226" s="401">
        <v>1950</v>
      </c>
      <c r="F226" s="399">
        <v>1950</v>
      </c>
      <c r="G226" s="71">
        <v>1950</v>
      </c>
      <c r="H226" s="398" t="s">
        <v>979</v>
      </c>
      <c r="I226" s="399">
        <f t="shared" si="5"/>
        <v>0</v>
      </c>
    </row>
    <row r="227" spans="1:9">
      <c r="A227" s="360" t="s">
        <v>477</v>
      </c>
      <c r="B227" s="360" t="s">
        <v>974</v>
      </c>
      <c r="C227" s="415">
        <v>12</v>
      </c>
      <c r="D227" s="354" t="s">
        <v>52</v>
      </c>
      <c r="E227" s="401">
        <v>1950</v>
      </c>
      <c r="F227" s="399">
        <v>1950</v>
      </c>
      <c r="G227" s="71">
        <v>1950</v>
      </c>
      <c r="H227" s="398" t="s">
        <v>979</v>
      </c>
      <c r="I227" s="399">
        <f t="shared" si="5"/>
        <v>0</v>
      </c>
    </row>
    <row r="228" spans="1:9">
      <c r="A228" s="360" t="s">
        <v>477</v>
      </c>
      <c r="B228" s="360" t="s">
        <v>974</v>
      </c>
      <c r="C228" s="415">
        <v>13</v>
      </c>
      <c r="D228" s="354" t="s">
        <v>56</v>
      </c>
      <c r="E228" s="401">
        <v>1950</v>
      </c>
      <c r="F228" s="399">
        <v>1950</v>
      </c>
      <c r="G228" s="71">
        <v>1950</v>
      </c>
      <c r="H228" s="398" t="s">
        <v>979</v>
      </c>
      <c r="I228" s="399">
        <f t="shared" si="5"/>
        <v>0</v>
      </c>
    </row>
    <row r="229" spans="1:9">
      <c r="A229" s="360" t="s">
        <v>477</v>
      </c>
      <c r="B229" s="360" t="s">
        <v>974</v>
      </c>
      <c r="C229" s="415">
        <v>14</v>
      </c>
      <c r="D229" s="354" t="s">
        <v>57</v>
      </c>
      <c r="E229" s="401">
        <v>1950</v>
      </c>
      <c r="F229" s="399">
        <v>1950</v>
      </c>
      <c r="G229" s="71">
        <v>1950</v>
      </c>
      <c r="H229" s="398" t="s">
        <v>979</v>
      </c>
      <c r="I229" s="399">
        <f t="shared" si="5"/>
        <v>0</v>
      </c>
    </row>
    <row r="230" spans="1:9">
      <c r="A230" s="360" t="s">
        <v>477</v>
      </c>
      <c r="B230" s="360" t="s">
        <v>974</v>
      </c>
      <c r="C230" s="415">
        <v>15</v>
      </c>
      <c r="D230" s="354" t="s">
        <v>59</v>
      </c>
      <c r="E230" s="401">
        <v>1950</v>
      </c>
      <c r="F230" s="399">
        <v>1950</v>
      </c>
      <c r="G230" s="71">
        <v>1950</v>
      </c>
      <c r="H230" s="398" t="s">
        <v>979</v>
      </c>
      <c r="I230" s="399">
        <f t="shared" si="5"/>
        <v>0</v>
      </c>
    </row>
    <row r="231" spans="1:9">
      <c r="A231" s="360" t="s">
        <v>477</v>
      </c>
      <c r="B231" s="360" t="s">
        <v>974</v>
      </c>
      <c r="C231" s="415">
        <v>16</v>
      </c>
      <c r="D231" s="354" t="s">
        <v>120</v>
      </c>
      <c r="E231" s="401">
        <v>1950</v>
      </c>
      <c r="F231" s="399">
        <v>1950</v>
      </c>
      <c r="G231" s="71">
        <v>1950</v>
      </c>
      <c r="H231" s="398" t="s">
        <v>979</v>
      </c>
      <c r="I231" s="399">
        <f t="shared" si="5"/>
        <v>0</v>
      </c>
    </row>
    <row r="232" spans="1:9">
      <c r="A232" s="360" t="s">
        <v>477</v>
      </c>
      <c r="B232" s="360" t="s">
        <v>974</v>
      </c>
      <c r="C232" s="415">
        <v>17</v>
      </c>
      <c r="D232" s="354" t="s">
        <v>139</v>
      </c>
      <c r="E232" s="401">
        <v>1950</v>
      </c>
      <c r="F232" s="399">
        <v>1950</v>
      </c>
      <c r="G232" s="71">
        <v>1950</v>
      </c>
      <c r="H232" s="398" t="s">
        <v>979</v>
      </c>
      <c r="I232" s="399">
        <f t="shared" si="5"/>
        <v>0</v>
      </c>
    </row>
    <row r="233" spans="1:9">
      <c r="A233" s="360" t="s">
        <v>477</v>
      </c>
      <c r="B233" s="360" t="s">
        <v>974</v>
      </c>
      <c r="C233" s="415">
        <v>18</v>
      </c>
      <c r="D233" s="354" t="s">
        <v>308</v>
      </c>
      <c r="E233" s="401">
        <v>1950</v>
      </c>
      <c r="F233" s="399">
        <v>1950</v>
      </c>
      <c r="G233" s="71">
        <v>1950</v>
      </c>
      <c r="H233" s="398" t="s">
        <v>979</v>
      </c>
      <c r="I233" s="399">
        <f t="shared" si="5"/>
        <v>0</v>
      </c>
    </row>
    <row r="234" spans="1:9">
      <c r="A234" s="360" t="s">
        <v>477</v>
      </c>
      <c r="B234" s="360" t="s">
        <v>974</v>
      </c>
      <c r="C234" s="415">
        <v>19</v>
      </c>
      <c r="D234" s="354" t="s">
        <v>510</v>
      </c>
      <c r="E234" s="401">
        <v>1950</v>
      </c>
      <c r="F234" s="399">
        <v>1950</v>
      </c>
      <c r="G234" s="71">
        <v>1950</v>
      </c>
      <c r="H234" s="398" t="s">
        <v>979</v>
      </c>
      <c r="I234" s="399">
        <f t="shared" si="5"/>
        <v>0</v>
      </c>
    </row>
    <row r="235" spans="1:9">
      <c r="A235" s="360" t="s">
        <v>477</v>
      </c>
      <c r="B235" s="360" t="s">
        <v>974</v>
      </c>
      <c r="C235" s="415">
        <v>20</v>
      </c>
      <c r="D235" s="354" t="s">
        <v>800</v>
      </c>
      <c r="E235" s="401">
        <v>1950</v>
      </c>
      <c r="F235" s="399">
        <v>1950</v>
      </c>
      <c r="G235" s="71">
        <v>1950</v>
      </c>
      <c r="H235" s="398" t="s">
        <v>979</v>
      </c>
      <c r="I235" s="399">
        <f t="shared" si="5"/>
        <v>0</v>
      </c>
    </row>
    <row r="236" spans="1:9">
      <c r="A236" s="360" t="s">
        <v>462</v>
      </c>
      <c r="B236" s="360" t="s">
        <v>423</v>
      </c>
      <c r="C236" s="360">
        <v>1</v>
      </c>
      <c r="D236" s="361" t="s">
        <v>838</v>
      </c>
      <c r="E236" s="405">
        <v>1750</v>
      </c>
      <c r="F236" s="399">
        <v>1750</v>
      </c>
      <c r="G236" s="28">
        <v>1750</v>
      </c>
      <c r="H236" s="400" t="s">
        <v>980</v>
      </c>
      <c r="I236" s="405">
        <f t="shared" ref="I236:I252" si="6">F236-G236</f>
        <v>0</v>
      </c>
    </row>
    <row r="237" spans="1:9">
      <c r="A237" s="360" t="s">
        <v>462</v>
      </c>
      <c r="B237" s="360" t="s">
        <v>423</v>
      </c>
      <c r="C237" s="360">
        <v>2</v>
      </c>
      <c r="D237" s="361" t="s">
        <v>848</v>
      </c>
      <c r="E237" s="405">
        <v>1750</v>
      </c>
      <c r="F237" s="399">
        <v>1750</v>
      </c>
      <c r="G237" s="28">
        <v>1750</v>
      </c>
      <c r="H237" s="400" t="s">
        <v>980</v>
      </c>
      <c r="I237" s="405">
        <f t="shared" si="6"/>
        <v>0</v>
      </c>
    </row>
    <row r="238" spans="1:9">
      <c r="A238" s="360" t="s">
        <v>462</v>
      </c>
      <c r="B238" s="360" t="s">
        <v>423</v>
      </c>
      <c r="C238" s="360">
        <v>3</v>
      </c>
      <c r="D238" s="354" t="s">
        <v>923</v>
      </c>
      <c r="E238" s="405">
        <v>1750</v>
      </c>
      <c r="F238" s="399">
        <v>1750</v>
      </c>
      <c r="G238" s="28">
        <v>1750</v>
      </c>
      <c r="H238" s="400" t="s">
        <v>980</v>
      </c>
      <c r="I238" s="405">
        <f t="shared" si="6"/>
        <v>0</v>
      </c>
    </row>
    <row r="239" spans="1:9">
      <c r="A239" s="360" t="s">
        <v>462</v>
      </c>
      <c r="B239" s="360" t="s">
        <v>423</v>
      </c>
      <c r="C239" s="360">
        <v>4</v>
      </c>
      <c r="D239" s="354" t="s">
        <v>852</v>
      </c>
      <c r="E239" s="405">
        <v>900</v>
      </c>
      <c r="F239" s="399">
        <v>900</v>
      </c>
      <c r="G239" s="28">
        <v>900</v>
      </c>
      <c r="H239" s="400" t="s">
        <v>980</v>
      </c>
      <c r="I239" s="405">
        <f t="shared" si="6"/>
        <v>0</v>
      </c>
    </row>
    <row r="240" spans="1:9">
      <c r="A240" s="360" t="s">
        <v>462</v>
      </c>
      <c r="B240" s="360" t="s">
        <v>423</v>
      </c>
      <c r="C240" s="360">
        <v>5</v>
      </c>
      <c r="D240" s="354" t="s">
        <v>855</v>
      </c>
      <c r="E240" s="405">
        <v>1750</v>
      </c>
      <c r="F240" s="399">
        <v>1750</v>
      </c>
      <c r="G240" s="28">
        <v>1750</v>
      </c>
      <c r="H240" s="400" t="s">
        <v>980</v>
      </c>
      <c r="I240" s="405">
        <f t="shared" si="6"/>
        <v>0</v>
      </c>
    </row>
    <row r="241" spans="1:9">
      <c r="A241" s="360" t="s">
        <v>462</v>
      </c>
      <c r="B241" s="360" t="s">
        <v>423</v>
      </c>
      <c r="C241" s="360">
        <v>6</v>
      </c>
      <c r="D241" s="354" t="s">
        <v>859</v>
      </c>
      <c r="E241" s="405">
        <v>900</v>
      </c>
      <c r="F241" s="399">
        <v>900</v>
      </c>
      <c r="G241" s="28">
        <v>900</v>
      </c>
      <c r="H241" s="400" t="s">
        <v>980</v>
      </c>
      <c r="I241" s="405">
        <f t="shared" si="6"/>
        <v>0</v>
      </c>
    </row>
    <row r="242" spans="1:9">
      <c r="A242" s="360" t="s">
        <v>462</v>
      </c>
      <c r="B242" s="360" t="s">
        <v>423</v>
      </c>
      <c r="C242" s="360">
        <v>7</v>
      </c>
      <c r="D242" s="354" t="s">
        <v>146</v>
      </c>
      <c r="E242" s="405">
        <v>1750</v>
      </c>
      <c r="F242" s="399">
        <v>1750</v>
      </c>
      <c r="G242" s="28">
        <v>1750</v>
      </c>
      <c r="H242" s="400" t="s">
        <v>980</v>
      </c>
      <c r="I242" s="405">
        <f t="shared" si="6"/>
        <v>0</v>
      </c>
    </row>
    <row r="243" spans="1:9">
      <c r="A243" s="360" t="s">
        <v>462</v>
      </c>
      <c r="B243" s="360" t="s">
        <v>423</v>
      </c>
      <c r="C243" s="360">
        <v>8</v>
      </c>
      <c r="D243" s="354" t="s">
        <v>861</v>
      </c>
      <c r="E243" s="405">
        <v>1750</v>
      </c>
      <c r="F243" s="399">
        <v>1750</v>
      </c>
      <c r="G243" s="28">
        <v>1750</v>
      </c>
      <c r="H243" s="400" t="s">
        <v>980</v>
      </c>
      <c r="I243" s="405">
        <f t="shared" si="6"/>
        <v>0</v>
      </c>
    </row>
    <row r="244" spans="1:9">
      <c r="A244" s="360" t="s">
        <v>462</v>
      </c>
      <c r="B244" s="360" t="s">
        <v>423</v>
      </c>
      <c r="C244" s="360">
        <v>9</v>
      </c>
      <c r="D244" s="354" t="s">
        <v>924</v>
      </c>
      <c r="E244" s="405">
        <v>1750</v>
      </c>
      <c r="F244" s="399">
        <v>1750</v>
      </c>
      <c r="G244" s="28">
        <v>1750</v>
      </c>
      <c r="H244" s="400" t="s">
        <v>980</v>
      </c>
      <c r="I244" s="405">
        <f t="shared" si="6"/>
        <v>0</v>
      </c>
    </row>
    <row r="245" spans="1:9">
      <c r="A245" s="360" t="s">
        <v>462</v>
      </c>
      <c r="B245" s="360" t="s">
        <v>423</v>
      </c>
      <c r="C245" s="360">
        <v>10</v>
      </c>
      <c r="D245" s="354" t="s">
        <v>925</v>
      </c>
      <c r="E245" s="405">
        <v>1750</v>
      </c>
      <c r="F245" s="399">
        <v>1750</v>
      </c>
      <c r="G245" s="28">
        <v>1750</v>
      </c>
      <c r="H245" s="400" t="s">
        <v>980</v>
      </c>
      <c r="I245" s="405">
        <f t="shared" si="6"/>
        <v>0</v>
      </c>
    </row>
    <row r="246" spans="1:9">
      <c r="A246" s="360" t="s">
        <v>462</v>
      </c>
      <c r="B246" s="360" t="s">
        <v>423</v>
      </c>
      <c r="C246" s="360">
        <v>11</v>
      </c>
      <c r="D246" s="354" t="s">
        <v>688</v>
      </c>
      <c r="E246" s="405">
        <v>1750</v>
      </c>
      <c r="F246" s="399">
        <v>1750</v>
      </c>
      <c r="G246" s="28">
        <v>1750</v>
      </c>
      <c r="H246" s="400" t="s">
        <v>980</v>
      </c>
      <c r="I246" s="405">
        <f t="shared" si="6"/>
        <v>0</v>
      </c>
    </row>
    <row r="247" spans="1:9">
      <c r="A247" s="360" t="s">
        <v>462</v>
      </c>
      <c r="B247" s="360" t="s">
        <v>423</v>
      </c>
      <c r="C247" s="360">
        <v>12</v>
      </c>
      <c r="D247" s="354" t="s">
        <v>452</v>
      </c>
      <c r="E247" s="405">
        <v>900</v>
      </c>
      <c r="F247" s="399">
        <v>900</v>
      </c>
      <c r="G247" s="28">
        <v>900</v>
      </c>
      <c r="H247" s="400" t="s">
        <v>980</v>
      </c>
      <c r="I247" s="405">
        <f t="shared" si="6"/>
        <v>0</v>
      </c>
    </row>
    <row r="248" spans="1:9">
      <c r="A248" s="360" t="s">
        <v>462</v>
      </c>
      <c r="B248" s="360" t="s">
        <v>423</v>
      </c>
      <c r="C248" s="360">
        <v>13</v>
      </c>
      <c r="D248" s="354" t="s">
        <v>381</v>
      </c>
      <c r="E248" s="405">
        <v>1750</v>
      </c>
      <c r="F248" s="399">
        <v>1750</v>
      </c>
      <c r="G248" s="28">
        <v>1750</v>
      </c>
      <c r="H248" s="400" t="s">
        <v>980</v>
      </c>
      <c r="I248" s="405">
        <f t="shared" si="6"/>
        <v>0</v>
      </c>
    </row>
    <row r="249" spans="1:9">
      <c r="A249" s="360" t="s">
        <v>462</v>
      </c>
      <c r="B249" s="360" t="s">
        <v>423</v>
      </c>
      <c r="C249" s="360">
        <v>14</v>
      </c>
      <c r="D249" s="354" t="s">
        <v>869</v>
      </c>
      <c r="E249" s="405">
        <v>900</v>
      </c>
      <c r="F249" s="399">
        <v>900</v>
      </c>
      <c r="G249" s="28">
        <v>900</v>
      </c>
      <c r="H249" s="400" t="s">
        <v>980</v>
      </c>
      <c r="I249" s="405">
        <f t="shared" si="6"/>
        <v>0</v>
      </c>
    </row>
    <row r="250" spans="1:9">
      <c r="A250" s="360" t="s">
        <v>462</v>
      </c>
      <c r="B250" s="360" t="s">
        <v>423</v>
      </c>
      <c r="C250" s="360">
        <v>15</v>
      </c>
      <c r="D250" s="354" t="s">
        <v>870</v>
      </c>
      <c r="E250" s="405">
        <v>1750</v>
      </c>
      <c r="F250" s="399">
        <v>1750</v>
      </c>
      <c r="G250" s="28">
        <v>1750</v>
      </c>
      <c r="H250" s="400" t="s">
        <v>980</v>
      </c>
      <c r="I250" s="405">
        <f t="shared" si="6"/>
        <v>0</v>
      </c>
    </row>
    <row r="251" spans="1:9">
      <c r="A251" s="360" t="s">
        <v>462</v>
      </c>
      <c r="B251" s="360" t="s">
        <v>423</v>
      </c>
      <c r="C251" s="360">
        <v>16</v>
      </c>
      <c r="D251" s="354" t="s">
        <v>871</v>
      </c>
      <c r="E251" s="405">
        <v>900</v>
      </c>
      <c r="F251" s="399">
        <v>900</v>
      </c>
      <c r="G251" s="28">
        <v>900</v>
      </c>
      <c r="H251" s="400" t="s">
        <v>980</v>
      </c>
      <c r="I251" s="405">
        <f t="shared" si="6"/>
        <v>0</v>
      </c>
    </row>
    <row r="252" spans="1:9">
      <c r="A252" s="360" t="s">
        <v>462</v>
      </c>
      <c r="B252" s="360" t="s">
        <v>423</v>
      </c>
      <c r="C252" s="360">
        <v>17</v>
      </c>
      <c r="D252" s="354" t="s">
        <v>872</v>
      </c>
      <c r="E252" s="405">
        <v>1750</v>
      </c>
      <c r="F252" s="399">
        <v>1750</v>
      </c>
      <c r="G252" s="28">
        <v>1750</v>
      </c>
      <c r="H252" s="400" t="s">
        <v>980</v>
      </c>
      <c r="I252" s="405">
        <f t="shared" si="6"/>
        <v>0</v>
      </c>
    </row>
    <row r="253" spans="1:9">
      <c r="A253" s="360" t="s">
        <v>462</v>
      </c>
      <c r="B253" s="360" t="s">
        <v>423</v>
      </c>
      <c r="C253" s="360">
        <v>18</v>
      </c>
      <c r="D253" s="354" t="s">
        <v>873</v>
      </c>
      <c r="E253" s="405">
        <v>900</v>
      </c>
      <c r="F253" s="399">
        <v>900</v>
      </c>
      <c r="G253" s="28">
        <v>900</v>
      </c>
      <c r="H253" s="400" t="s">
        <v>980</v>
      </c>
      <c r="I253" s="405">
        <f t="shared" ref="I253:I314" si="7">F253-G253</f>
        <v>0</v>
      </c>
    </row>
    <row r="254" spans="1:9">
      <c r="A254" s="360" t="s">
        <v>462</v>
      </c>
      <c r="B254" s="360" t="s">
        <v>423</v>
      </c>
      <c r="C254" s="360">
        <v>19</v>
      </c>
      <c r="D254" s="354" t="s">
        <v>874</v>
      </c>
      <c r="E254" s="405">
        <v>1750</v>
      </c>
      <c r="F254" s="399">
        <v>1750</v>
      </c>
      <c r="G254" s="28">
        <v>1750</v>
      </c>
      <c r="H254" s="400" t="s">
        <v>980</v>
      </c>
      <c r="I254" s="405">
        <f t="shared" si="7"/>
        <v>0</v>
      </c>
    </row>
    <row r="255" spans="1:9">
      <c r="A255" s="360" t="s">
        <v>462</v>
      </c>
      <c r="B255" s="360" t="s">
        <v>423</v>
      </c>
      <c r="C255" s="360">
        <v>20</v>
      </c>
      <c r="D255" s="354" t="s">
        <v>875</v>
      </c>
      <c r="E255" s="405">
        <v>900</v>
      </c>
      <c r="F255" s="399">
        <v>900</v>
      </c>
      <c r="G255" s="28">
        <v>900</v>
      </c>
      <c r="H255" s="400" t="s">
        <v>980</v>
      </c>
      <c r="I255" s="405">
        <f t="shared" si="7"/>
        <v>0</v>
      </c>
    </row>
    <row r="256" spans="1:9">
      <c r="A256" s="360" t="s">
        <v>462</v>
      </c>
      <c r="B256" s="360" t="s">
        <v>423</v>
      </c>
      <c r="C256" s="360">
        <v>21</v>
      </c>
      <c r="D256" s="354" t="s">
        <v>876</v>
      </c>
      <c r="E256" s="405">
        <v>900</v>
      </c>
      <c r="F256" s="399">
        <v>900</v>
      </c>
      <c r="G256" s="28">
        <v>900</v>
      </c>
      <c r="H256" s="400" t="s">
        <v>980</v>
      </c>
      <c r="I256" s="405">
        <f t="shared" si="7"/>
        <v>0</v>
      </c>
    </row>
    <row r="257" spans="1:9">
      <c r="A257" s="360" t="s">
        <v>462</v>
      </c>
      <c r="B257" s="360" t="s">
        <v>423</v>
      </c>
      <c r="C257" s="360">
        <v>22</v>
      </c>
      <c r="D257" s="354" t="s">
        <v>895</v>
      </c>
      <c r="E257" s="405">
        <v>1750</v>
      </c>
      <c r="F257" s="399">
        <v>1750</v>
      </c>
      <c r="G257" s="28">
        <v>1750</v>
      </c>
      <c r="H257" s="400" t="s">
        <v>980</v>
      </c>
      <c r="I257" s="405">
        <f t="shared" si="7"/>
        <v>0</v>
      </c>
    </row>
    <row r="258" spans="1:9">
      <c r="A258" s="360" t="s">
        <v>462</v>
      </c>
      <c r="B258" s="360" t="s">
        <v>423</v>
      </c>
      <c r="C258" s="360">
        <v>23</v>
      </c>
      <c r="D258" s="354" t="s">
        <v>926</v>
      </c>
      <c r="E258" s="405">
        <v>1750</v>
      </c>
      <c r="F258" s="399">
        <v>1750</v>
      </c>
      <c r="G258" s="28">
        <v>1750</v>
      </c>
      <c r="H258" s="400" t="s">
        <v>980</v>
      </c>
      <c r="I258" s="405">
        <f t="shared" si="7"/>
        <v>0</v>
      </c>
    </row>
    <row r="259" spans="1:9">
      <c r="A259" s="360" t="s">
        <v>462</v>
      </c>
      <c r="B259" s="360" t="s">
        <v>423</v>
      </c>
      <c r="C259" s="360">
        <v>24</v>
      </c>
      <c r="D259" s="354" t="s">
        <v>902</v>
      </c>
      <c r="E259" s="405">
        <v>900</v>
      </c>
      <c r="F259" s="399">
        <v>900</v>
      </c>
      <c r="G259" s="28">
        <v>900</v>
      </c>
      <c r="H259" s="400" t="s">
        <v>980</v>
      </c>
      <c r="I259" s="405">
        <f t="shared" si="7"/>
        <v>0</v>
      </c>
    </row>
    <row r="260" spans="1:9">
      <c r="A260" s="360" t="s">
        <v>462</v>
      </c>
      <c r="B260" s="360" t="s">
        <v>423</v>
      </c>
      <c r="C260" s="360">
        <v>25</v>
      </c>
      <c r="D260" s="354" t="s">
        <v>904</v>
      </c>
      <c r="E260" s="405">
        <v>1750</v>
      </c>
      <c r="F260" s="399">
        <v>1750</v>
      </c>
      <c r="G260" s="28">
        <v>1750</v>
      </c>
      <c r="H260" s="400" t="s">
        <v>980</v>
      </c>
      <c r="I260" s="405">
        <f t="shared" si="7"/>
        <v>0</v>
      </c>
    </row>
    <row r="261" spans="1:9">
      <c r="A261" s="360" t="s">
        <v>462</v>
      </c>
      <c r="B261" s="360" t="s">
        <v>423</v>
      </c>
      <c r="C261" s="360">
        <v>26</v>
      </c>
      <c r="D261" s="354" t="s">
        <v>927</v>
      </c>
      <c r="E261" s="405">
        <v>1750</v>
      </c>
      <c r="F261" s="399">
        <v>1750</v>
      </c>
      <c r="G261" s="28">
        <v>1750</v>
      </c>
      <c r="H261" s="400" t="s">
        <v>980</v>
      </c>
      <c r="I261" s="405">
        <f t="shared" si="7"/>
        <v>0</v>
      </c>
    </row>
    <row r="262" spans="1:9">
      <c r="A262" s="360" t="s">
        <v>462</v>
      </c>
      <c r="B262" s="360" t="s">
        <v>423</v>
      </c>
      <c r="C262" s="360">
        <v>27</v>
      </c>
      <c r="D262" s="354" t="s">
        <v>68</v>
      </c>
      <c r="E262" s="405">
        <v>900</v>
      </c>
      <c r="F262" s="399">
        <v>900</v>
      </c>
      <c r="G262" s="28">
        <v>900</v>
      </c>
      <c r="H262" s="400" t="s">
        <v>980</v>
      </c>
      <c r="I262" s="405">
        <f t="shared" si="7"/>
        <v>0</v>
      </c>
    </row>
    <row r="263" spans="1:9">
      <c r="A263" s="360" t="s">
        <v>462</v>
      </c>
      <c r="B263" s="360" t="s">
        <v>423</v>
      </c>
      <c r="C263" s="360">
        <v>28</v>
      </c>
      <c r="D263" s="354" t="s">
        <v>891</v>
      </c>
      <c r="E263" s="405">
        <v>1750</v>
      </c>
      <c r="F263" s="399">
        <v>1750</v>
      </c>
      <c r="G263" s="28">
        <v>1750</v>
      </c>
      <c r="H263" s="400" t="s">
        <v>980</v>
      </c>
      <c r="I263" s="405">
        <f t="shared" si="7"/>
        <v>0</v>
      </c>
    </row>
    <row r="264" spans="1:9">
      <c r="A264" s="360" t="s">
        <v>462</v>
      </c>
      <c r="B264" s="360" t="s">
        <v>423</v>
      </c>
      <c r="C264" s="360">
        <v>29</v>
      </c>
      <c r="D264" s="354" t="s">
        <v>893</v>
      </c>
      <c r="E264" s="405">
        <v>1750</v>
      </c>
      <c r="F264" s="399">
        <v>1750</v>
      </c>
      <c r="G264" s="28">
        <v>1750</v>
      </c>
      <c r="H264" s="400" t="s">
        <v>980</v>
      </c>
      <c r="I264" s="405">
        <f t="shared" si="7"/>
        <v>0</v>
      </c>
    </row>
    <row r="265" spans="1:9">
      <c r="A265" s="360" t="s">
        <v>462</v>
      </c>
      <c r="B265" s="360" t="s">
        <v>423</v>
      </c>
      <c r="C265" s="360">
        <v>30</v>
      </c>
      <c r="D265" s="354" t="s">
        <v>897</v>
      </c>
      <c r="E265" s="405">
        <v>900</v>
      </c>
      <c r="F265" s="399">
        <v>900</v>
      </c>
      <c r="G265" s="28">
        <v>900</v>
      </c>
      <c r="H265" s="400" t="s">
        <v>980</v>
      </c>
      <c r="I265" s="405">
        <f t="shared" si="7"/>
        <v>0</v>
      </c>
    </row>
    <row r="266" spans="1:9">
      <c r="A266" s="360" t="s">
        <v>462</v>
      </c>
      <c r="B266" s="360" t="s">
        <v>423</v>
      </c>
      <c r="C266" s="360">
        <v>31</v>
      </c>
      <c r="D266" s="354" t="s">
        <v>901</v>
      </c>
      <c r="E266" s="405">
        <v>900</v>
      </c>
      <c r="F266" s="399">
        <v>900</v>
      </c>
      <c r="G266" s="28">
        <v>900</v>
      </c>
      <c r="H266" s="400" t="s">
        <v>980</v>
      </c>
      <c r="I266" s="405">
        <f t="shared" si="7"/>
        <v>0</v>
      </c>
    </row>
    <row r="267" spans="1:9">
      <c r="A267" s="360" t="s">
        <v>462</v>
      </c>
      <c r="B267" s="360" t="s">
        <v>423</v>
      </c>
      <c r="C267" s="360">
        <v>32</v>
      </c>
      <c r="D267" s="354" t="s">
        <v>928</v>
      </c>
      <c r="E267" s="405">
        <v>900</v>
      </c>
      <c r="F267" s="399">
        <v>900</v>
      </c>
      <c r="G267" s="28">
        <v>900</v>
      </c>
      <c r="H267" s="400" t="s">
        <v>65</v>
      </c>
      <c r="I267" s="405">
        <f t="shared" si="7"/>
        <v>0</v>
      </c>
    </row>
    <row r="268" spans="1:9">
      <c r="A268" s="360" t="s">
        <v>462</v>
      </c>
      <c r="B268" s="360" t="s">
        <v>423</v>
      </c>
      <c r="C268" s="360">
        <v>34</v>
      </c>
      <c r="D268" s="354" t="s">
        <v>299</v>
      </c>
      <c r="E268" s="405">
        <v>900</v>
      </c>
      <c r="F268" s="399">
        <v>900</v>
      </c>
      <c r="G268" s="200">
        <v>900</v>
      </c>
      <c r="H268" s="400" t="s">
        <v>980</v>
      </c>
      <c r="I268" s="405">
        <f t="shared" si="7"/>
        <v>0</v>
      </c>
    </row>
    <row r="269" spans="1:9">
      <c r="A269" s="360" t="s">
        <v>462</v>
      </c>
      <c r="B269" s="360" t="s">
        <v>424</v>
      </c>
      <c r="C269" s="360">
        <v>1</v>
      </c>
      <c r="D269" s="361" t="s">
        <v>660</v>
      </c>
      <c r="E269" s="402">
        <v>1750</v>
      </c>
      <c r="F269" s="399">
        <v>1750</v>
      </c>
      <c r="G269" s="28">
        <v>1750</v>
      </c>
      <c r="H269" s="400" t="s">
        <v>980</v>
      </c>
      <c r="I269" s="405">
        <f t="shared" si="7"/>
        <v>0</v>
      </c>
    </row>
    <row r="270" spans="1:9">
      <c r="A270" s="360" t="s">
        <v>462</v>
      </c>
      <c r="B270" s="360" t="s">
        <v>424</v>
      </c>
      <c r="C270" s="360">
        <v>2</v>
      </c>
      <c r="D270" s="361" t="s">
        <v>662</v>
      </c>
      <c r="E270" s="402">
        <v>1750</v>
      </c>
      <c r="F270" s="399">
        <v>1750</v>
      </c>
      <c r="G270" s="28">
        <v>1750</v>
      </c>
      <c r="H270" s="400" t="s">
        <v>980</v>
      </c>
      <c r="I270" s="405">
        <f t="shared" si="7"/>
        <v>0</v>
      </c>
    </row>
    <row r="271" spans="1:9">
      <c r="A271" s="360" t="s">
        <v>462</v>
      </c>
      <c r="B271" s="360" t="s">
        <v>424</v>
      </c>
      <c r="C271" s="360">
        <v>3</v>
      </c>
      <c r="D271" s="361" t="s">
        <v>664</v>
      </c>
      <c r="E271" s="402">
        <v>1000</v>
      </c>
      <c r="F271" s="399">
        <v>1000</v>
      </c>
      <c r="G271" s="28"/>
      <c r="H271" s="400" t="s">
        <v>980</v>
      </c>
      <c r="I271" s="405">
        <f t="shared" si="7"/>
        <v>1000</v>
      </c>
    </row>
    <row r="272" spans="1:9">
      <c r="A272" s="360" t="s">
        <v>462</v>
      </c>
      <c r="B272" s="360" t="s">
        <v>424</v>
      </c>
      <c r="C272" s="360">
        <v>4</v>
      </c>
      <c r="D272" s="361" t="s">
        <v>32</v>
      </c>
      <c r="E272" s="402">
        <v>1750</v>
      </c>
      <c r="F272" s="399">
        <v>1750</v>
      </c>
      <c r="G272" s="28">
        <v>1750</v>
      </c>
      <c r="H272" s="400" t="s">
        <v>65</v>
      </c>
      <c r="I272" s="405">
        <f t="shared" si="7"/>
        <v>0</v>
      </c>
    </row>
    <row r="273" spans="1:9">
      <c r="A273" s="360" t="s">
        <v>462</v>
      </c>
      <c r="B273" s="360" t="s">
        <v>424</v>
      </c>
      <c r="C273" s="360">
        <v>5</v>
      </c>
      <c r="D273" s="361" t="s">
        <v>667</v>
      </c>
      <c r="E273" s="402">
        <v>900</v>
      </c>
      <c r="F273" s="399">
        <v>900</v>
      </c>
      <c r="G273" s="28">
        <v>900</v>
      </c>
      <c r="H273" s="400" t="s">
        <v>980</v>
      </c>
      <c r="I273" s="405">
        <f t="shared" si="7"/>
        <v>0</v>
      </c>
    </row>
    <row r="274" spans="1:9">
      <c r="A274" s="360" t="s">
        <v>462</v>
      </c>
      <c r="B274" s="360" t="s">
        <v>424</v>
      </c>
      <c r="C274" s="360">
        <v>6</v>
      </c>
      <c r="D274" s="361" t="s">
        <v>669</v>
      </c>
      <c r="E274" s="402">
        <v>1750</v>
      </c>
      <c r="F274" s="399">
        <v>1750</v>
      </c>
      <c r="G274" s="28">
        <v>1750</v>
      </c>
      <c r="H274" s="400" t="s">
        <v>980</v>
      </c>
      <c r="I274" s="405">
        <f t="shared" si="7"/>
        <v>0</v>
      </c>
    </row>
    <row r="275" spans="1:9">
      <c r="A275" s="360" t="s">
        <v>462</v>
      </c>
      <c r="B275" s="360" t="s">
        <v>424</v>
      </c>
      <c r="C275" s="360">
        <v>7</v>
      </c>
      <c r="D275" s="361" t="s">
        <v>111</v>
      </c>
      <c r="E275" s="402">
        <v>1750</v>
      </c>
      <c r="F275" s="399">
        <v>1750</v>
      </c>
      <c r="G275" s="28">
        <v>1750</v>
      </c>
      <c r="H275" s="400" t="s">
        <v>980</v>
      </c>
      <c r="I275" s="405">
        <f t="shared" si="7"/>
        <v>0</v>
      </c>
    </row>
    <row r="276" spans="1:9">
      <c r="A276" s="360" t="s">
        <v>462</v>
      </c>
      <c r="B276" s="360" t="s">
        <v>424</v>
      </c>
      <c r="C276" s="360">
        <v>8</v>
      </c>
      <c r="D276" s="361" t="s">
        <v>672</v>
      </c>
      <c r="E276" s="402">
        <v>1750</v>
      </c>
      <c r="F276" s="399">
        <v>1750</v>
      </c>
      <c r="G276" s="28">
        <v>1750</v>
      </c>
      <c r="H276" s="400" t="s">
        <v>980</v>
      </c>
      <c r="I276" s="405">
        <f t="shared" si="7"/>
        <v>0</v>
      </c>
    </row>
    <row r="277" spans="1:9">
      <c r="A277" s="360" t="s">
        <v>462</v>
      </c>
      <c r="B277" s="360" t="s">
        <v>424</v>
      </c>
      <c r="C277" s="360">
        <v>9</v>
      </c>
      <c r="D277" s="361" t="s">
        <v>673</v>
      </c>
      <c r="E277" s="402">
        <v>1750</v>
      </c>
      <c r="F277" s="399">
        <v>1750</v>
      </c>
      <c r="G277" s="28">
        <v>1750</v>
      </c>
      <c r="H277" s="400" t="s">
        <v>980</v>
      </c>
      <c r="I277" s="405">
        <f t="shared" si="7"/>
        <v>0</v>
      </c>
    </row>
    <row r="278" spans="1:9">
      <c r="A278" s="360" t="s">
        <v>462</v>
      </c>
      <c r="B278" s="360" t="s">
        <v>424</v>
      </c>
      <c r="C278" s="360">
        <v>10</v>
      </c>
      <c r="D278" s="361" t="s">
        <v>674</v>
      </c>
      <c r="E278" s="402">
        <v>1750</v>
      </c>
      <c r="F278" s="399">
        <v>1750</v>
      </c>
      <c r="G278" s="28">
        <v>1750</v>
      </c>
      <c r="H278" s="400" t="s">
        <v>980</v>
      </c>
      <c r="I278" s="405">
        <f t="shared" si="7"/>
        <v>0</v>
      </c>
    </row>
    <row r="279" spans="1:9">
      <c r="A279" s="360" t="s">
        <v>462</v>
      </c>
      <c r="B279" s="360" t="s">
        <v>424</v>
      </c>
      <c r="C279" s="360">
        <v>11</v>
      </c>
      <c r="D279" s="361" t="s">
        <v>676</v>
      </c>
      <c r="E279" s="402">
        <v>1750</v>
      </c>
      <c r="F279" s="399">
        <v>1750</v>
      </c>
      <c r="G279" s="28">
        <v>1750</v>
      </c>
      <c r="H279" s="400" t="s">
        <v>980</v>
      </c>
      <c r="I279" s="405">
        <f t="shared" si="7"/>
        <v>0</v>
      </c>
    </row>
    <row r="280" spans="1:9">
      <c r="A280" s="360" t="s">
        <v>462</v>
      </c>
      <c r="B280" s="360" t="s">
        <v>424</v>
      </c>
      <c r="C280" s="360">
        <v>12</v>
      </c>
      <c r="D280" s="361" t="s">
        <v>678</v>
      </c>
      <c r="E280" s="402">
        <v>900</v>
      </c>
      <c r="F280" s="399">
        <v>900</v>
      </c>
      <c r="G280" s="28">
        <v>900</v>
      </c>
      <c r="H280" s="400" t="s">
        <v>980</v>
      </c>
      <c r="I280" s="405">
        <f t="shared" si="7"/>
        <v>0</v>
      </c>
    </row>
    <row r="281" spans="1:9">
      <c r="A281" s="360" t="s">
        <v>462</v>
      </c>
      <c r="B281" s="360" t="s">
        <v>424</v>
      </c>
      <c r="C281" s="360">
        <v>13</v>
      </c>
      <c r="D281" s="361" t="s">
        <v>680</v>
      </c>
      <c r="E281" s="402">
        <v>900</v>
      </c>
      <c r="F281" s="399">
        <v>900</v>
      </c>
      <c r="G281" s="28">
        <v>900</v>
      </c>
      <c r="H281" s="400" t="s">
        <v>980</v>
      </c>
      <c r="I281" s="405">
        <f>F281-G281</f>
        <v>0</v>
      </c>
    </row>
    <row r="282" spans="1:9">
      <c r="A282" s="360" t="s">
        <v>462</v>
      </c>
      <c r="B282" s="360" t="s">
        <v>424</v>
      </c>
      <c r="C282" s="360">
        <v>14</v>
      </c>
      <c r="D282" s="361" t="s">
        <v>682</v>
      </c>
      <c r="E282" s="402">
        <v>1750</v>
      </c>
      <c r="F282" s="399">
        <v>1750</v>
      </c>
      <c r="G282" s="28">
        <v>1750</v>
      </c>
      <c r="H282" s="400" t="s">
        <v>980</v>
      </c>
      <c r="I282" s="405">
        <f t="shared" si="7"/>
        <v>0</v>
      </c>
    </row>
    <row r="283" spans="1:9">
      <c r="A283" s="360" t="s">
        <v>462</v>
      </c>
      <c r="B283" s="360" t="s">
        <v>424</v>
      </c>
      <c r="C283" s="421">
        <v>15</v>
      </c>
      <c r="D283" s="361" t="s">
        <v>732</v>
      </c>
      <c r="E283" s="402">
        <v>900</v>
      </c>
      <c r="F283" s="399">
        <v>900</v>
      </c>
      <c r="G283" s="28">
        <v>900</v>
      </c>
      <c r="H283" s="400" t="s">
        <v>980</v>
      </c>
      <c r="I283" s="405">
        <f>F283-G283</f>
        <v>0</v>
      </c>
    </row>
    <row r="284" spans="1:9">
      <c r="A284" s="360" t="s">
        <v>462</v>
      </c>
      <c r="B284" s="360" t="s">
        <v>424</v>
      </c>
      <c r="C284" s="360">
        <v>16</v>
      </c>
      <c r="D284" s="361" t="s">
        <v>734</v>
      </c>
      <c r="E284" s="402">
        <v>1750</v>
      </c>
      <c r="F284" s="399">
        <v>1750</v>
      </c>
      <c r="G284" s="28">
        <v>1750</v>
      </c>
      <c r="H284" s="400" t="s">
        <v>980</v>
      </c>
      <c r="I284" s="405">
        <f t="shared" si="7"/>
        <v>0</v>
      </c>
    </row>
    <row r="285" spans="1:9">
      <c r="A285" s="360" t="s">
        <v>462</v>
      </c>
      <c r="B285" s="360" t="s">
        <v>424</v>
      </c>
      <c r="C285" s="360">
        <v>17</v>
      </c>
      <c r="D285" s="361" t="s">
        <v>736</v>
      </c>
      <c r="E285" s="402">
        <v>900</v>
      </c>
      <c r="F285" s="399">
        <v>900</v>
      </c>
      <c r="G285" s="28">
        <v>900</v>
      </c>
      <c r="H285" s="400" t="s">
        <v>980</v>
      </c>
      <c r="I285" s="405">
        <f t="shared" si="7"/>
        <v>0</v>
      </c>
    </row>
    <row r="286" spans="1:9">
      <c r="A286" s="360" t="s">
        <v>462</v>
      </c>
      <c r="B286" s="360" t="s">
        <v>424</v>
      </c>
      <c r="C286" s="360">
        <v>18</v>
      </c>
      <c r="D286" s="361" t="s">
        <v>741</v>
      </c>
      <c r="E286" s="402">
        <v>900</v>
      </c>
      <c r="F286" s="399">
        <v>900</v>
      </c>
      <c r="G286" s="28">
        <v>900</v>
      </c>
      <c r="H286" s="400" t="s">
        <v>980</v>
      </c>
      <c r="I286" s="405">
        <f t="shared" si="7"/>
        <v>0</v>
      </c>
    </row>
    <row r="287" spans="1:9">
      <c r="A287" s="360" t="s">
        <v>462</v>
      </c>
      <c r="B287" s="360" t="s">
        <v>424</v>
      </c>
      <c r="C287" s="360">
        <v>19</v>
      </c>
      <c r="D287" s="361" t="s">
        <v>742</v>
      </c>
      <c r="E287" s="402">
        <v>1750</v>
      </c>
      <c r="F287" s="399">
        <v>1750</v>
      </c>
      <c r="G287" s="28">
        <v>1750</v>
      </c>
      <c r="H287" s="400" t="s">
        <v>980</v>
      </c>
      <c r="I287" s="405">
        <f t="shared" si="7"/>
        <v>0</v>
      </c>
    </row>
    <row r="288" spans="1:9">
      <c r="A288" s="360" t="s">
        <v>462</v>
      </c>
      <c r="B288" s="360" t="s">
        <v>424</v>
      </c>
      <c r="C288" s="360">
        <v>20</v>
      </c>
      <c r="D288" s="361" t="s">
        <v>744</v>
      </c>
      <c r="E288" s="402">
        <v>900</v>
      </c>
      <c r="F288" s="399">
        <v>900</v>
      </c>
      <c r="G288" s="28">
        <v>900</v>
      </c>
      <c r="H288" s="400" t="s">
        <v>980</v>
      </c>
      <c r="I288" s="405">
        <f t="shared" si="7"/>
        <v>0</v>
      </c>
    </row>
    <row r="289" spans="1:9">
      <c r="A289" s="360" t="s">
        <v>462</v>
      </c>
      <c r="B289" s="360" t="s">
        <v>424</v>
      </c>
      <c r="C289" s="360">
        <v>21</v>
      </c>
      <c r="D289" s="361" t="s">
        <v>746</v>
      </c>
      <c r="E289" s="402">
        <v>900</v>
      </c>
      <c r="F289" s="399">
        <v>900</v>
      </c>
      <c r="G289" s="28">
        <v>900</v>
      </c>
      <c r="H289" s="400" t="s">
        <v>980</v>
      </c>
      <c r="I289" s="405">
        <f t="shared" si="7"/>
        <v>0</v>
      </c>
    </row>
    <row r="290" spans="1:9">
      <c r="A290" s="360" t="s">
        <v>462</v>
      </c>
      <c r="B290" s="360" t="s">
        <v>424</v>
      </c>
      <c r="C290" s="360">
        <v>22</v>
      </c>
      <c r="D290" s="361" t="s">
        <v>748</v>
      </c>
      <c r="E290" s="402">
        <v>1750</v>
      </c>
      <c r="F290" s="399">
        <v>1750</v>
      </c>
      <c r="G290" s="28">
        <v>1750</v>
      </c>
      <c r="H290" s="400" t="s">
        <v>980</v>
      </c>
      <c r="I290" s="405">
        <f t="shared" si="7"/>
        <v>0</v>
      </c>
    </row>
    <row r="291" spans="1:9">
      <c r="A291" s="360" t="s">
        <v>462</v>
      </c>
      <c r="B291" s="360" t="s">
        <v>424</v>
      </c>
      <c r="C291" s="360">
        <v>23</v>
      </c>
      <c r="D291" s="361" t="s">
        <v>750</v>
      </c>
      <c r="E291" s="402">
        <v>0</v>
      </c>
      <c r="F291" s="399">
        <v>0</v>
      </c>
      <c r="G291" s="28">
        <v>0</v>
      </c>
      <c r="H291" s="400" t="s">
        <v>980</v>
      </c>
      <c r="I291" s="405">
        <f t="shared" si="7"/>
        <v>0</v>
      </c>
    </row>
    <row r="292" spans="1:9">
      <c r="A292" s="360" t="s">
        <v>462</v>
      </c>
      <c r="B292" s="360" t="s">
        <v>424</v>
      </c>
      <c r="C292" s="360">
        <v>24</v>
      </c>
      <c r="D292" s="361" t="s">
        <v>751</v>
      </c>
      <c r="E292" s="402">
        <v>1750</v>
      </c>
      <c r="F292" s="399">
        <v>1750</v>
      </c>
      <c r="G292" s="28">
        <v>1750</v>
      </c>
      <c r="H292" s="400" t="s">
        <v>980</v>
      </c>
      <c r="I292" s="405">
        <f t="shared" si="7"/>
        <v>0</v>
      </c>
    </row>
    <row r="293" spans="1:9">
      <c r="A293" s="360" t="s">
        <v>462</v>
      </c>
      <c r="B293" s="360" t="s">
        <v>424</v>
      </c>
      <c r="C293" s="360">
        <v>25</v>
      </c>
      <c r="D293" s="361" t="s">
        <v>753</v>
      </c>
      <c r="E293" s="402">
        <v>900</v>
      </c>
      <c r="F293" s="399">
        <v>900</v>
      </c>
      <c r="G293" s="28">
        <v>900</v>
      </c>
      <c r="H293" s="400" t="s">
        <v>980</v>
      </c>
      <c r="I293" s="405">
        <f t="shared" si="7"/>
        <v>0</v>
      </c>
    </row>
    <row r="294" spans="1:9">
      <c r="A294" s="360" t="s">
        <v>462</v>
      </c>
      <c r="B294" s="360" t="s">
        <v>424</v>
      </c>
      <c r="C294" s="360">
        <v>26</v>
      </c>
      <c r="D294" s="361" t="s">
        <v>754</v>
      </c>
      <c r="E294" s="402">
        <v>900</v>
      </c>
      <c r="F294" s="399">
        <v>900</v>
      </c>
      <c r="G294" s="28">
        <v>900</v>
      </c>
      <c r="H294" s="400" t="s">
        <v>980</v>
      </c>
      <c r="I294" s="405">
        <f t="shared" si="7"/>
        <v>0</v>
      </c>
    </row>
    <row r="295" spans="1:9">
      <c r="A295" s="360" t="s">
        <v>462</v>
      </c>
      <c r="B295" s="360" t="s">
        <v>424</v>
      </c>
      <c r="C295" s="360">
        <v>27</v>
      </c>
      <c r="D295" s="361" t="s">
        <v>793</v>
      </c>
      <c r="E295" s="402">
        <v>1750</v>
      </c>
      <c r="F295" s="399">
        <v>1750</v>
      </c>
      <c r="G295" s="28">
        <v>1750</v>
      </c>
      <c r="H295" s="400" t="s">
        <v>980</v>
      </c>
      <c r="I295" s="405">
        <f t="shared" si="7"/>
        <v>0</v>
      </c>
    </row>
    <row r="296" spans="1:9">
      <c r="A296" s="360" t="s">
        <v>462</v>
      </c>
      <c r="B296" s="360" t="s">
        <v>424</v>
      </c>
      <c r="C296" s="360">
        <v>28</v>
      </c>
      <c r="D296" s="361" t="s">
        <v>931</v>
      </c>
      <c r="E296" s="402">
        <v>1750</v>
      </c>
      <c r="F296" s="399">
        <v>1750</v>
      </c>
      <c r="G296" s="28">
        <v>1750</v>
      </c>
      <c r="H296" s="400" t="s">
        <v>980</v>
      </c>
      <c r="I296" s="405">
        <f t="shared" si="7"/>
        <v>0</v>
      </c>
    </row>
    <row r="297" spans="1:9">
      <c r="A297" s="360" t="s">
        <v>462</v>
      </c>
      <c r="B297" s="360" t="s">
        <v>878</v>
      </c>
      <c r="C297" s="360">
        <v>1</v>
      </c>
      <c r="D297" s="354" t="s">
        <v>471</v>
      </c>
      <c r="E297" s="405">
        <v>1750</v>
      </c>
      <c r="F297" s="399">
        <v>1750</v>
      </c>
      <c r="G297" s="33">
        <v>1750</v>
      </c>
      <c r="H297" s="400" t="s">
        <v>980</v>
      </c>
      <c r="I297" s="405">
        <f t="shared" si="7"/>
        <v>0</v>
      </c>
    </row>
    <row r="298" spans="1:9">
      <c r="A298" s="360" t="s">
        <v>462</v>
      </c>
      <c r="B298" s="360" t="s">
        <v>878</v>
      </c>
      <c r="C298" s="360">
        <v>2</v>
      </c>
      <c r="D298" s="376" t="s">
        <v>492</v>
      </c>
      <c r="E298" s="405">
        <v>1750</v>
      </c>
      <c r="F298" s="399">
        <v>1750</v>
      </c>
      <c r="G298" s="33">
        <v>1750</v>
      </c>
      <c r="H298" s="400" t="s">
        <v>980</v>
      </c>
      <c r="I298" s="405">
        <f t="shared" si="7"/>
        <v>0</v>
      </c>
    </row>
    <row r="299" spans="1:9">
      <c r="A299" s="360" t="s">
        <v>462</v>
      </c>
      <c r="B299" s="360" t="s">
        <v>878</v>
      </c>
      <c r="C299" s="360">
        <v>3</v>
      </c>
      <c r="D299" s="376" t="s">
        <v>600</v>
      </c>
      <c r="E299" s="405">
        <v>1750</v>
      </c>
      <c r="F299" s="399">
        <v>1750</v>
      </c>
      <c r="G299" s="33">
        <v>1750</v>
      </c>
      <c r="H299" s="400" t="s">
        <v>980</v>
      </c>
      <c r="I299" s="405">
        <f t="shared" si="7"/>
        <v>0</v>
      </c>
    </row>
    <row r="300" spans="1:9">
      <c r="A300" s="360" t="s">
        <v>462</v>
      </c>
      <c r="B300" s="360" t="s">
        <v>878</v>
      </c>
      <c r="C300" s="360">
        <v>4</v>
      </c>
      <c r="D300" s="409" t="s">
        <v>501</v>
      </c>
      <c r="E300" s="405">
        <v>1750</v>
      </c>
      <c r="F300" s="399">
        <v>1750</v>
      </c>
      <c r="G300" s="33">
        <v>1750</v>
      </c>
      <c r="H300" s="400" t="s">
        <v>980</v>
      </c>
      <c r="I300" s="405">
        <f t="shared" si="7"/>
        <v>0</v>
      </c>
    </row>
    <row r="301" spans="1:9">
      <c r="A301" s="360" t="s">
        <v>462</v>
      </c>
      <c r="B301" s="360" t="s">
        <v>878</v>
      </c>
      <c r="C301" s="360">
        <v>5</v>
      </c>
      <c r="D301" s="376" t="s">
        <v>75</v>
      </c>
      <c r="E301" s="405">
        <v>900</v>
      </c>
      <c r="F301" s="399">
        <v>900</v>
      </c>
      <c r="G301" s="33">
        <v>900</v>
      </c>
      <c r="H301" s="400" t="s">
        <v>980</v>
      </c>
      <c r="I301" s="405">
        <f t="shared" si="7"/>
        <v>0</v>
      </c>
    </row>
    <row r="302" spans="1:9">
      <c r="A302" s="360" t="s">
        <v>462</v>
      </c>
      <c r="B302" s="360" t="s">
        <v>878</v>
      </c>
      <c r="C302" s="360">
        <v>6</v>
      </c>
      <c r="D302" s="376" t="s">
        <v>614</v>
      </c>
      <c r="E302" s="405">
        <v>1750</v>
      </c>
      <c r="F302" s="399">
        <v>1750</v>
      </c>
      <c r="G302" s="33">
        <v>1750</v>
      </c>
      <c r="H302" s="400" t="s">
        <v>980</v>
      </c>
      <c r="I302" s="405">
        <f t="shared" si="7"/>
        <v>0</v>
      </c>
    </row>
    <row r="303" spans="1:9">
      <c r="A303" s="360" t="s">
        <v>462</v>
      </c>
      <c r="B303" s="360" t="s">
        <v>878</v>
      </c>
      <c r="C303" s="360">
        <v>7</v>
      </c>
      <c r="D303" s="376" t="s">
        <v>686</v>
      </c>
      <c r="E303" s="405">
        <v>1750</v>
      </c>
      <c r="F303" s="399">
        <v>1750</v>
      </c>
      <c r="G303" s="33">
        <v>1750</v>
      </c>
      <c r="H303" s="400" t="s">
        <v>980</v>
      </c>
      <c r="I303" s="405">
        <f t="shared" si="7"/>
        <v>0</v>
      </c>
    </row>
    <row r="304" spans="1:9">
      <c r="A304" s="360" t="s">
        <v>462</v>
      </c>
      <c r="B304" s="360" t="s">
        <v>878</v>
      </c>
      <c r="C304" s="360">
        <v>8</v>
      </c>
      <c r="D304" s="376" t="s">
        <v>528</v>
      </c>
      <c r="E304" s="405">
        <v>1750</v>
      </c>
      <c r="F304" s="399">
        <v>1750</v>
      </c>
      <c r="G304" s="33">
        <v>1750</v>
      </c>
      <c r="H304" s="400" t="s">
        <v>980</v>
      </c>
      <c r="I304" s="405">
        <f t="shared" si="7"/>
        <v>0</v>
      </c>
    </row>
    <row r="305" spans="1:9">
      <c r="A305" s="360" t="s">
        <v>462</v>
      </c>
      <c r="B305" s="360" t="s">
        <v>878</v>
      </c>
      <c r="C305" s="360">
        <v>9</v>
      </c>
      <c r="D305" s="376" t="s">
        <v>580</v>
      </c>
      <c r="E305" s="405">
        <v>1750</v>
      </c>
      <c r="F305" s="399">
        <v>1750</v>
      </c>
      <c r="G305" s="33">
        <v>1750</v>
      </c>
      <c r="H305" s="400" t="s">
        <v>980</v>
      </c>
      <c r="I305" s="405">
        <f t="shared" si="7"/>
        <v>0</v>
      </c>
    </row>
    <row r="306" spans="1:9">
      <c r="A306" s="360" t="s">
        <v>462</v>
      </c>
      <c r="B306" s="360" t="s">
        <v>878</v>
      </c>
      <c r="C306" s="360">
        <v>10</v>
      </c>
      <c r="D306" s="376" t="s">
        <v>496</v>
      </c>
      <c r="E306" s="405">
        <v>0</v>
      </c>
      <c r="F306" s="399">
        <v>0</v>
      </c>
      <c r="G306" s="33">
        <v>0</v>
      </c>
      <c r="H306" s="400" t="s">
        <v>980</v>
      </c>
      <c r="I306" s="405">
        <f t="shared" si="7"/>
        <v>0</v>
      </c>
    </row>
    <row r="307" spans="1:9">
      <c r="A307" s="360" t="s">
        <v>462</v>
      </c>
      <c r="B307" s="360" t="s">
        <v>878</v>
      </c>
      <c r="C307" s="360">
        <v>11</v>
      </c>
      <c r="D307" s="354" t="s">
        <v>463</v>
      </c>
      <c r="E307" s="405">
        <v>1750</v>
      </c>
      <c r="F307" s="399">
        <v>1750</v>
      </c>
      <c r="G307" s="33">
        <v>1750</v>
      </c>
      <c r="H307" s="400" t="s">
        <v>980</v>
      </c>
      <c r="I307" s="405">
        <f t="shared" si="7"/>
        <v>0</v>
      </c>
    </row>
    <row r="308" spans="1:9">
      <c r="A308" s="360" t="s">
        <v>462</v>
      </c>
      <c r="B308" s="360" t="s">
        <v>878</v>
      </c>
      <c r="C308" s="360">
        <v>12</v>
      </c>
      <c r="D308" s="376" t="s">
        <v>603</v>
      </c>
      <c r="E308" s="405">
        <v>1750</v>
      </c>
      <c r="F308" s="399">
        <v>1750</v>
      </c>
      <c r="G308" s="33">
        <v>1750</v>
      </c>
      <c r="H308" s="400" t="s">
        <v>980</v>
      </c>
      <c r="I308" s="405">
        <f t="shared" si="7"/>
        <v>0</v>
      </c>
    </row>
    <row r="309" spans="1:9">
      <c r="A309" s="360" t="s">
        <v>462</v>
      </c>
      <c r="B309" s="360" t="s">
        <v>878</v>
      </c>
      <c r="C309" s="360">
        <v>13</v>
      </c>
      <c r="D309" s="376" t="s">
        <v>575</v>
      </c>
      <c r="E309" s="405">
        <v>1750</v>
      </c>
      <c r="F309" s="399">
        <v>1750</v>
      </c>
      <c r="G309" s="33">
        <v>1750</v>
      </c>
      <c r="H309" s="400" t="s">
        <v>980</v>
      </c>
      <c r="I309" s="405">
        <f t="shared" si="7"/>
        <v>0</v>
      </c>
    </row>
    <row r="310" spans="1:9">
      <c r="A310" s="360" t="s">
        <v>462</v>
      </c>
      <c r="B310" s="360" t="s">
        <v>878</v>
      </c>
      <c r="C310" s="360">
        <v>14</v>
      </c>
      <c r="D310" s="376" t="s">
        <v>608</v>
      </c>
      <c r="E310" s="405">
        <v>900</v>
      </c>
      <c r="F310" s="399">
        <v>900</v>
      </c>
      <c r="G310" s="33">
        <v>900</v>
      </c>
      <c r="H310" s="400" t="s">
        <v>980</v>
      </c>
      <c r="I310" s="405">
        <f t="shared" si="7"/>
        <v>0</v>
      </c>
    </row>
    <row r="311" spans="1:9">
      <c r="A311" s="360" t="s">
        <v>462</v>
      </c>
      <c r="B311" s="360" t="s">
        <v>878</v>
      </c>
      <c r="C311" s="360">
        <v>15</v>
      </c>
      <c r="D311" s="376" t="s">
        <v>684</v>
      </c>
      <c r="E311" s="405">
        <v>1750</v>
      </c>
      <c r="F311" s="399">
        <v>1750</v>
      </c>
      <c r="G311" s="33">
        <v>1750</v>
      </c>
      <c r="H311" s="400" t="s">
        <v>980</v>
      </c>
      <c r="I311" s="405">
        <f t="shared" si="7"/>
        <v>0</v>
      </c>
    </row>
    <row r="312" spans="1:9">
      <c r="A312" s="360" t="s">
        <v>462</v>
      </c>
      <c r="B312" s="360" t="s">
        <v>878</v>
      </c>
      <c r="C312" s="360">
        <v>16</v>
      </c>
      <c r="D312" s="354" t="s">
        <v>468</v>
      </c>
      <c r="E312" s="405">
        <v>1750</v>
      </c>
      <c r="F312" s="399">
        <v>1750</v>
      </c>
      <c r="G312" s="33">
        <v>1750</v>
      </c>
      <c r="H312" s="400" t="s">
        <v>980</v>
      </c>
      <c r="I312" s="405">
        <f t="shared" si="7"/>
        <v>0</v>
      </c>
    </row>
    <row r="313" spans="1:9">
      <c r="A313" s="360" t="s">
        <v>462</v>
      </c>
      <c r="B313" s="360" t="s">
        <v>878</v>
      </c>
      <c r="C313" s="360">
        <v>17</v>
      </c>
      <c r="D313" s="376" t="s">
        <v>688</v>
      </c>
      <c r="E313" s="405">
        <v>1750</v>
      </c>
      <c r="F313" s="399">
        <v>1750</v>
      </c>
      <c r="G313" s="33">
        <v>1750</v>
      </c>
      <c r="H313" s="400" t="s">
        <v>980</v>
      </c>
      <c r="I313" s="405">
        <f t="shared" si="7"/>
        <v>0</v>
      </c>
    </row>
    <row r="314" spans="1:9">
      <c r="A314" s="360" t="s">
        <v>462</v>
      </c>
      <c r="B314" s="360" t="s">
        <v>878</v>
      </c>
      <c r="C314" s="360">
        <v>18</v>
      </c>
      <c r="D314" s="376" t="s">
        <v>578</v>
      </c>
      <c r="E314" s="405">
        <v>1750</v>
      </c>
      <c r="F314" s="399">
        <v>1750</v>
      </c>
      <c r="G314" s="33">
        <v>1750</v>
      </c>
      <c r="H314" s="400" t="s">
        <v>980</v>
      </c>
      <c r="I314" s="405">
        <f t="shared" si="7"/>
        <v>0</v>
      </c>
    </row>
    <row r="315" spans="1:9">
      <c r="A315" s="360" t="s">
        <v>462</v>
      </c>
      <c r="B315" s="360" t="s">
        <v>878</v>
      </c>
      <c r="C315" s="360">
        <v>19</v>
      </c>
      <c r="D315" s="376" t="s">
        <v>596</v>
      </c>
      <c r="E315" s="405">
        <v>1750</v>
      </c>
      <c r="F315" s="399">
        <v>1750</v>
      </c>
      <c r="G315" s="33">
        <v>1750</v>
      </c>
      <c r="H315" s="400" t="s">
        <v>980</v>
      </c>
      <c r="I315" s="405">
        <f t="shared" ref="I315:I378" si="8">F315-G315</f>
        <v>0</v>
      </c>
    </row>
    <row r="316" spans="1:9">
      <c r="A316" s="360" t="s">
        <v>462</v>
      </c>
      <c r="B316" s="360" t="s">
        <v>878</v>
      </c>
      <c r="C316" s="360">
        <v>20</v>
      </c>
      <c r="D316" s="376" t="s">
        <v>932</v>
      </c>
      <c r="E316" s="405">
        <v>1750</v>
      </c>
      <c r="F316" s="399">
        <v>1750</v>
      </c>
      <c r="G316" s="33">
        <v>1750</v>
      </c>
      <c r="H316" s="400" t="s">
        <v>980</v>
      </c>
      <c r="I316" s="405">
        <f t="shared" si="8"/>
        <v>0</v>
      </c>
    </row>
    <row r="317" spans="1:9">
      <c r="A317" s="360" t="s">
        <v>462</v>
      </c>
      <c r="B317" s="360" t="s">
        <v>970</v>
      </c>
      <c r="C317" s="360">
        <v>1</v>
      </c>
      <c r="D317" s="376" t="s">
        <v>628</v>
      </c>
      <c r="E317" s="402">
        <v>1950</v>
      </c>
      <c r="F317" s="399">
        <v>1950</v>
      </c>
      <c r="G317" s="96">
        <v>1950</v>
      </c>
      <c r="H317" s="400" t="s">
        <v>980</v>
      </c>
      <c r="I317" s="405">
        <f t="shared" si="8"/>
        <v>0</v>
      </c>
    </row>
    <row r="318" spans="1:9">
      <c r="A318" s="360" t="s">
        <v>462</v>
      </c>
      <c r="B318" s="360" t="s">
        <v>970</v>
      </c>
      <c r="C318" s="360">
        <v>2</v>
      </c>
      <c r="D318" s="376" t="s">
        <v>769</v>
      </c>
      <c r="E318" s="402">
        <v>1950</v>
      </c>
      <c r="F318" s="399">
        <v>1950</v>
      </c>
      <c r="G318" s="96">
        <v>1950</v>
      </c>
      <c r="H318" s="400" t="s">
        <v>980</v>
      </c>
      <c r="I318" s="405">
        <f t="shared" si="8"/>
        <v>0</v>
      </c>
    </row>
    <row r="319" spans="1:9">
      <c r="A319" s="360" t="s">
        <v>462</v>
      </c>
      <c r="B319" s="360" t="s">
        <v>970</v>
      </c>
      <c r="C319" s="360">
        <v>3</v>
      </c>
      <c r="D319" s="376" t="s">
        <v>767</v>
      </c>
      <c r="E319" s="402">
        <v>1950</v>
      </c>
      <c r="F319" s="399">
        <v>1950</v>
      </c>
      <c r="G319" s="96">
        <v>1950</v>
      </c>
      <c r="H319" s="400" t="s">
        <v>980</v>
      </c>
      <c r="I319" s="405">
        <f t="shared" si="8"/>
        <v>0</v>
      </c>
    </row>
    <row r="320" spans="1:9">
      <c r="A320" s="360" t="s">
        <v>462</v>
      </c>
      <c r="B320" s="360" t="s">
        <v>970</v>
      </c>
      <c r="C320" s="360">
        <v>4</v>
      </c>
      <c r="D320" s="376" t="s">
        <v>480</v>
      </c>
      <c r="E320" s="402">
        <v>1950</v>
      </c>
      <c r="F320" s="399">
        <v>1950</v>
      </c>
      <c r="G320" s="96">
        <v>1950</v>
      </c>
      <c r="H320" s="400" t="s">
        <v>980</v>
      </c>
      <c r="I320" s="405">
        <f t="shared" si="8"/>
        <v>0</v>
      </c>
    </row>
    <row r="321" spans="1:11">
      <c r="A321" s="360" t="s">
        <v>462</v>
      </c>
      <c r="B321" s="360" t="s">
        <v>970</v>
      </c>
      <c r="C321" s="360">
        <v>5</v>
      </c>
      <c r="D321" s="376" t="s">
        <v>239</v>
      </c>
      <c r="E321" s="402">
        <v>1950</v>
      </c>
      <c r="F321" s="399">
        <v>1950</v>
      </c>
      <c r="G321" s="96">
        <v>1950</v>
      </c>
      <c r="H321" s="400" t="s">
        <v>980</v>
      </c>
      <c r="I321" s="405">
        <f t="shared" si="8"/>
        <v>0</v>
      </c>
    </row>
    <row r="322" spans="1:11">
      <c r="A322" s="360" t="s">
        <v>462</v>
      </c>
      <c r="B322" s="360" t="s">
        <v>970</v>
      </c>
      <c r="C322" s="360">
        <v>6</v>
      </c>
      <c r="D322" s="376" t="s">
        <v>46</v>
      </c>
      <c r="E322" s="402">
        <v>1000</v>
      </c>
      <c r="F322" s="399">
        <v>1000</v>
      </c>
      <c r="G322" s="96">
        <v>1000</v>
      </c>
      <c r="H322" s="400" t="s">
        <v>980</v>
      </c>
      <c r="I322" s="405">
        <f t="shared" si="8"/>
        <v>0</v>
      </c>
      <c r="K322">
        <f>1950*3</f>
        <v>5850</v>
      </c>
    </row>
    <row r="323" spans="1:11">
      <c r="A323" s="360" t="s">
        <v>462</v>
      </c>
      <c r="B323" s="360" t="s">
        <v>970</v>
      </c>
      <c r="C323" s="360">
        <v>7</v>
      </c>
      <c r="D323" s="376" t="s">
        <v>489</v>
      </c>
      <c r="E323" s="402">
        <v>1950</v>
      </c>
      <c r="F323" s="399">
        <v>1950</v>
      </c>
      <c r="G323" s="96">
        <v>1950</v>
      </c>
      <c r="H323" s="400" t="s">
        <v>980</v>
      </c>
      <c r="I323" s="405">
        <f t="shared" si="8"/>
        <v>0</v>
      </c>
    </row>
    <row r="324" spans="1:11">
      <c r="A324" s="360" t="s">
        <v>462</v>
      </c>
      <c r="B324" s="360" t="s">
        <v>970</v>
      </c>
      <c r="C324" s="360">
        <v>8</v>
      </c>
      <c r="D324" s="376" t="s">
        <v>762</v>
      </c>
      <c r="E324" s="402">
        <v>0</v>
      </c>
      <c r="F324" s="399">
        <v>0</v>
      </c>
      <c r="G324" s="96">
        <v>0</v>
      </c>
      <c r="H324" s="400" t="s">
        <v>980</v>
      </c>
      <c r="I324" s="405">
        <f t="shared" si="8"/>
        <v>0</v>
      </c>
    </row>
    <row r="325" spans="1:11">
      <c r="A325" s="360" t="s">
        <v>462</v>
      </c>
      <c r="B325" s="360" t="s">
        <v>970</v>
      </c>
      <c r="C325" s="360">
        <v>9</v>
      </c>
      <c r="D325" s="376" t="s">
        <v>764</v>
      </c>
      <c r="E325" s="402">
        <v>1950</v>
      </c>
      <c r="F325" s="399">
        <v>1950</v>
      </c>
      <c r="G325" s="96">
        <v>1950</v>
      </c>
      <c r="H325" s="400" t="s">
        <v>980</v>
      </c>
      <c r="I325" s="405">
        <f t="shared" si="8"/>
        <v>0</v>
      </c>
    </row>
    <row r="326" spans="1:11">
      <c r="A326" s="360" t="s">
        <v>462</v>
      </c>
      <c r="B326" s="360" t="s">
        <v>970</v>
      </c>
      <c r="C326" s="360">
        <v>10</v>
      </c>
      <c r="D326" s="376" t="s">
        <v>766</v>
      </c>
      <c r="E326" s="402">
        <v>1950</v>
      </c>
      <c r="F326" s="399">
        <v>1950</v>
      </c>
      <c r="G326" s="96">
        <v>1950</v>
      </c>
      <c r="H326" s="400" t="s">
        <v>980</v>
      </c>
      <c r="I326" s="405">
        <f t="shared" si="8"/>
        <v>0</v>
      </c>
    </row>
    <row r="327" spans="1:11">
      <c r="A327" s="360" t="s">
        <v>462</v>
      </c>
      <c r="B327" s="360" t="s">
        <v>970</v>
      </c>
      <c r="C327" s="360">
        <v>11</v>
      </c>
      <c r="D327" s="376" t="s">
        <v>797</v>
      </c>
      <c r="E327" s="402">
        <v>1950</v>
      </c>
      <c r="F327" s="399">
        <v>1950</v>
      </c>
      <c r="G327" s="96">
        <v>1950</v>
      </c>
      <c r="H327" s="400" t="s">
        <v>980</v>
      </c>
      <c r="I327" s="405">
        <f t="shared" si="8"/>
        <v>0</v>
      </c>
    </row>
    <row r="328" spans="1:11">
      <c r="A328" s="360" t="s">
        <v>462</v>
      </c>
      <c r="B328" s="360" t="s">
        <v>970</v>
      </c>
      <c r="C328" s="360">
        <v>12</v>
      </c>
      <c r="D328" s="376" t="s">
        <v>320</v>
      </c>
      <c r="E328" s="402">
        <v>1950</v>
      </c>
      <c r="F328" s="399">
        <v>1950</v>
      </c>
      <c r="G328" s="96">
        <v>1950</v>
      </c>
      <c r="H328" s="400" t="s">
        <v>980</v>
      </c>
      <c r="I328" s="405">
        <f t="shared" si="8"/>
        <v>0</v>
      </c>
    </row>
    <row r="329" spans="1:11">
      <c r="A329" s="360" t="s">
        <v>462</v>
      </c>
      <c r="B329" s="360" t="s">
        <v>970</v>
      </c>
      <c r="C329" s="360">
        <v>13</v>
      </c>
      <c r="D329" s="376" t="s">
        <v>805</v>
      </c>
      <c r="E329" s="402">
        <v>1950</v>
      </c>
      <c r="F329" s="399">
        <v>1950</v>
      </c>
      <c r="G329" s="96">
        <v>1950</v>
      </c>
      <c r="H329" s="400" t="s">
        <v>980</v>
      </c>
      <c r="I329" s="405">
        <f t="shared" si="8"/>
        <v>0</v>
      </c>
    </row>
    <row r="330" spans="1:11">
      <c r="A330" s="360" t="s">
        <v>462</v>
      </c>
      <c r="B330" s="360" t="s">
        <v>970</v>
      </c>
      <c r="C330" s="360">
        <v>14</v>
      </c>
      <c r="D330" s="376" t="s">
        <v>933</v>
      </c>
      <c r="E330" s="402">
        <v>1950</v>
      </c>
      <c r="F330" s="399">
        <v>1950</v>
      </c>
      <c r="G330" s="96">
        <v>1950</v>
      </c>
      <c r="H330" s="400" t="s">
        <v>980</v>
      </c>
      <c r="I330" s="405">
        <f t="shared" si="8"/>
        <v>0</v>
      </c>
    </row>
    <row r="331" spans="1:11">
      <c r="A331" s="421" t="s">
        <v>462</v>
      </c>
      <c r="B331" s="421" t="s">
        <v>970</v>
      </c>
      <c r="C331" s="421">
        <v>15</v>
      </c>
      <c r="D331" s="422" t="s">
        <v>934</v>
      </c>
      <c r="E331" s="423">
        <v>1950</v>
      </c>
      <c r="F331" s="399">
        <v>0</v>
      </c>
      <c r="G331" s="96">
        <v>0</v>
      </c>
      <c r="H331" s="400" t="s">
        <v>980</v>
      </c>
      <c r="I331" s="405">
        <f t="shared" si="8"/>
        <v>0</v>
      </c>
    </row>
    <row r="332" spans="1:11">
      <c r="A332" s="360" t="s">
        <v>462</v>
      </c>
      <c r="B332" s="360" t="s">
        <v>970</v>
      </c>
      <c r="C332" s="360">
        <v>16</v>
      </c>
      <c r="D332" s="376" t="s">
        <v>999</v>
      </c>
      <c r="E332" s="402">
        <v>1950</v>
      </c>
      <c r="F332" s="399">
        <v>1950</v>
      </c>
      <c r="G332" s="96">
        <v>1950</v>
      </c>
      <c r="H332" s="400" t="s">
        <v>980</v>
      </c>
      <c r="I332" s="405">
        <f t="shared" si="8"/>
        <v>0</v>
      </c>
    </row>
    <row r="333" spans="1:11">
      <c r="A333" s="360" t="s">
        <v>462</v>
      </c>
      <c r="B333" s="360" t="s">
        <v>1009</v>
      </c>
      <c r="C333" s="360">
        <v>1</v>
      </c>
      <c r="D333" s="376" t="s">
        <v>813</v>
      </c>
      <c r="E333" s="402">
        <v>1950</v>
      </c>
      <c r="F333" s="399">
        <v>1950</v>
      </c>
      <c r="G333" s="28">
        <v>1950</v>
      </c>
      <c r="H333" s="400" t="s">
        <v>980</v>
      </c>
      <c r="I333" s="405">
        <f t="shared" si="8"/>
        <v>0</v>
      </c>
    </row>
    <row r="334" spans="1:11">
      <c r="A334" s="360" t="s">
        <v>462</v>
      </c>
      <c r="B334" s="360" t="s">
        <v>1009</v>
      </c>
      <c r="C334" s="360">
        <v>2</v>
      </c>
      <c r="D334" s="354" t="s">
        <v>516</v>
      </c>
      <c r="E334" s="402">
        <v>1950</v>
      </c>
      <c r="F334" s="399">
        <v>1950</v>
      </c>
      <c r="G334" s="28">
        <v>1950</v>
      </c>
      <c r="H334" s="400" t="s">
        <v>980</v>
      </c>
      <c r="I334" s="405">
        <f t="shared" si="8"/>
        <v>0</v>
      </c>
    </row>
    <row r="335" spans="1:11">
      <c r="A335" s="360" t="s">
        <v>462</v>
      </c>
      <c r="B335" s="360" t="s">
        <v>1009</v>
      </c>
      <c r="C335" s="360">
        <v>3</v>
      </c>
      <c r="D335" s="376" t="s">
        <v>513</v>
      </c>
      <c r="E335" s="402">
        <v>1950</v>
      </c>
      <c r="F335" s="399">
        <v>1950</v>
      </c>
      <c r="G335" s="28">
        <v>1950</v>
      </c>
      <c r="H335" s="400" t="s">
        <v>980</v>
      </c>
      <c r="I335" s="405">
        <f t="shared" si="8"/>
        <v>0</v>
      </c>
    </row>
    <row r="336" spans="1:11">
      <c r="A336" s="360" t="s">
        <v>462</v>
      </c>
      <c r="B336" s="360" t="s">
        <v>1009</v>
      </c>
      <c r="C336" s="360">
        <v>4</v>
      </c>
      <c r="D336" s="354" t="s">
        <v>97</v>
      </c>
      <c r="E336" s="402">
        <v>1950</v>
      </c>
      <c r="F336" s="399">
        <v>1950</v>
      </c>
      <c r="G336" s="28">
        <v>1950</v>
      </c>
      <c r="H336" s="400" t="s">
        <v>980</v>
      </c>
      <c r="I336" s="405">
        <f t="shared" si="8"/>
        <v>0</v>
      </c>
    </row>
    <row r="337" spans="1:9">
      <c r="A337" s="360" t="s">
        <v>462</v>
      </c>
      <c r="B337" s="360" t="s">
        <v>1009</v>
      </c>
      <c r="C337" s="360">
        <v>5</v>
      </c>
      <c r="D337" s="376" t="s">
        <v>525</v>
      </c>
      <c r="E337" s="402">
        <v>1950</v>
      </c>
      <c r="F337" s="399">
        <v>1950</v>
      </c>
      <c r="G337" s="28">
        <v>1950</v>
      </c>
      <c r="H337" s="400" t="s">
        <v>980</v>
      </c>
      <c r="I337" s="405">
        <f t="shared" si="8"/>
        <v>0</v>
      </c>
    </row>
    <row r="338" spans="1:9">
      <c r="A338" s="360" t="s">
        <v>462</v>
      </c>
      <c r="B338" s="360" t="s">
        <v>1009</v>
      </c>
      <c r="C338" s="360">
        <v>6</v>
      </c>
      <c r="D338" s="376" t="s">
        <v>631</v>
      </c>
      <c r="E338" s="402">
        <v>1950</v>
      </c>
      <c r="F338" s="399">
        <v>1950</v>
      </c>
      <c r="G338" s="28">
        <v>1950</v>
      </c>
      <c r="H338" s="400" t="s">
        <v>980</v>
      </c>
      <c r="I338" s="405">
        <f t="shared" si="8"/>
        <v>0</v>
      </c>
    </row>
    <row r="339" spans="1:9">
      <c r="A339" s="360" t="s">
        <v>462</v>
      </c>
      <c r="B339" s="360" t="s">
        <v>1009</v>
      </c>
      <c r="C339" s="360">
        <v>7</v>
      </c>
      <c r="D339" s="376" t="s">
        <v>689</v>
      </c>
      <c r="E339" s="402">
        <v>1000</v>
      </c>
      <c r="F339" s="399">
        <v>1000</v>
      </c>
      <c r="G339" s="28">
        <v>1000</v>
      </c>
      <c r="H339" s="400" t="s">
        <v>980</v>
      </c>
      <c r="I339" s="405">
        <f t="shared" si="8"/>
        <v>0</v>
      </c>
    </row>
    <row r="340" spans="1:9">
      <c r="A340" s="360" t="s">
        <v>462</v>
      </c>
      <c r="B340" s="360" t="s">
        <v>1009</v>
      </c>
      <c r="C340" s="360">
        <v>8</v>
      </c>
      <c r="D340" s="376" t="s">
        <v>777</v>
      </c>
      <c r="E340" s="402">
        <v>1950</v>
      </c>
      <c r="F340" s="399">
        <v>1950</v>
      </c>
      <c r="G340" s="28">
        <v>1950</v>
      </c>
      <c r="H340" s="400" t="s">
        <v>980</v>
      </c>
      <c r="I340" s="405">
        <f t="shared" si="8"/>
        <v>0</v>
      </c>
    </row>
    <row r="341" spans="1:9">
      <c r="A341" s="360" t="s">
        <v>462</v>
      </c>
      <c r="B341" s="360" t="s">
        <v>1009</v>
      </c>
      <c r="C341" s="360">
        <v>9</v>
      </c>
      <c r="D341" s="376" t="s">
        <v>775</v>
      </c>
      <c r="E341" s="402">
        <v>1950</v>
      </c>
      <c r="F341" s="399">
        <v>1950</v>
      </c>
      <c r="G341" s="28">
        <v>1950</v>
      </c>
      <c r="H341" s="400" t="s">
        <v>980</v>
      </c>
      <c r="I341" s="405">
        <f t="shared" si="8"/>
        <v>0</v>
      </c>
    </row>
    <row r="342" spans="1:9">
      <c r="A342" s="360" t="s">
        <v>462</v>
      </c>
      <c r="B342" s="360" t="s">
        <v>1009</v>
      </c>
      <c r="C342" s="360">
        <v>10</v>
      </c>
      <c r="D342" s="376" t="s">
        <v>779</v>
      </c>
      <c r="E342" s="402">
        <v>1950</v>
      </c>
      <c r="F342" s="399">
        <v>1950</v>
      </c>
      <c r="G342" s="28">
        <v>1950</v>
      </c>
      <c r="H342" s="400" t="s">
        <v>980</v>
      </c>
      <c r="I342" s="405">
        <f t="shared" si="8"/>
        <v>0</v>
      </c>
    </row>
    <row r="343" spans="1:9">
      <c r="A343" s="360" t="s">
        <v>462</v>
      </c>
      <c r="B343" s="360" t="s">
        <v>1009</v>
      </c>
      <c r="C343" s="360">
        <v>11</v>
      </c>
      <c r="D343" s="376" t="s">
        <v>804</v>
      </c>
      <c r="E343" s="402">
        <v>1950</v>
      </c>
      <c r="F343" s="399">
        <v>1950</v>
      </c>
      <c r="G343" s="28">
        <v>1950</v>
      </c>
      <c r="H343" s="400" t="s">
        <v>980</v>
      </c>
      <c r="I343" s="405">
        <f t="shared" si="8"/>
        <v>0</v>
      </c>
    </row>
    <row r="344" spans="1:9">
      <c r="A344" s="360" t="s">
        <v>462</v>
      </c>
      <c r="B344" s="360" t="s">
        <v>1009</v>
      </c>
      <c r="C344" s="360">
        <v>12</v>
      </c>
      <c r="D344" s="376" t="s">
        <v>607</v>
      </c>
      <c r="E344" s="402">
        <v>1950</v>
      </c>
      <c r="F344" s="399">
        <v>1950</v>
      </c>
      <c r="G344" s="28">
        <v>1950</v>
      </c>
      <c r="H344" s="400" t="s">
        <v>980</v>
      </c>
      <c r="I344" s="405">
        <f t="shared" si="8"/>
        <v>0</v>
      </c>
    </row>
    <row r="345" spans="1:9">
      <c r="A345" s="360" t="s">
        <v>462</v>
      </c>
      <c r="B345" s="360" t="s">
        <v>1009</v>
      </c>
      <c r="C345" s="360">
        <v>13</v>
      </c>
      <c r="D345" s="376" t="s">
        <v>179</v>
      </c>
      <c r="E345" s="402">
        <v>1000</v>
      </c>
      <c r="F345" s="399">
        <v>1000</v>
      </c>
      <c r="G345" s="28">
        <v>1000</v>
      </c>
      <c r="H345" s="400" t="s">
        <v>980</v>
      </c>
      <c r="I345" s="405">
        <f t="shared" si="8"/>
        <v>0</v>
      </c>
    </row>
    <row r="346" spans="1:9">
      <c r="A346" s="360" t="s">
        <v>462</v>
      </c>
      <c r="B346" s="360" t="s">
        <v>1009</v>
      </c>
      <c r="C346" s="360">
        <v>14</v>
      </c>
      <c r="D346" s="376" t="s">
        <v>935</v>
      </c>
      <c r="E346" s="402">
        <v>1950</v>
      </c>
      <c r="F346" s="399">
        <v>1950</v>
      </c>
      <c r="G346" s="28">
        <v>1950</v>
      </c>
      <c r="H346" s="400" t="s">
        <v>980</v>
      </c>
      <c r="I346" s="405">
        <f t="shared" si="8"/>
        <v>0</v>
      </c>
    </row>
    <row r="347" spans="1:9">
      <c r="A347" s="360" t="s">
        <v>462</v>
      </c>
      <c r="B347" s="360" t="s">
        <v>1009</v>
      </c>
      <c r="C347" s="360">
        <v>15</v>
      </c>
      <c r="D347" s="376" t="s">
        <v>936</v>
      </c>
      <c r="E347" s="402">
        <v>1000</v>
      </c>
      <c r="F347" s="399">
        <v>1000</v>
      </c>
      <c r="G347" s="28">
        <v>1000</v>
      </c>
      <c r="H347" s="400" t="s">
        <v>980</v>
      </c>
      <c r="I347" s="405">
        <f t="shared" si="8"/>
        <v>0</v>
      </c>
    </row>
    <row r="348" spans="1:9">
      <c r="A348" s="360" t="s">
        <v>462</v>
      </c>
      <c r="B348" s="360" t="s">
        <v>972</v>
      </c>
      <c r="C348" s="360">
        <v>1</v>
      </c>
      <c r="D348" s="354" t="s">
        <v>291</v>
      </c>
      <c r="E348" s="406">
        <v>1950</v>
      </c>
      <c r="F348" s="407">
        <v>1950</v>
      </c>
      <c r="G348" s="28">
        <v>1950</v>
      </c>
      <c r="H348" s="400" t="s">
        <v>980</v>
      </c>
      <c r="I348" s="405">
        <f t="shared" si="8"/>
        <v>0</v>
      </c>
    </row>
    <row r="349" spans="1:9">
      <c r="A349" s="360" t="s">
        <v>462</v>
      </c>
      <c r="B349" s="360" t="s">
        <v>972</v>
      </c>
      <c r="C349" s="360">
        <v>2</v>
      </c>
      <c r="D349" s="354" t="s">
        <v>540</v>
      </c>
      <c r="E349" s="403">
        <v>0</v>
      </c>
      <c r="F349" s="407">
        <v>0</v>
      </c>
      <c r="G349" s="28">
        <v>0</v>
      </c>
      <c r="H349" s="400" t="s">
        <v>980</v>
      </c>
      <c r="I349" s="405">
        <f t="shared" si="8"/>
        <v>0</v>
      </c>
    </row>
    <row r="350" spans="1:9">
      <c r="A350" s="360" t="s">
        <v>462</v>
      </c>
      <c r="B350" s="360" t="s">
        <v>972</v>
      </c>
      <c r="C350" s="360">
        <v>3</v>
      </c>
      <c r="D350" s="354" t="s">
        <v>486</v>
      </c>
      <c r="E350" s="403">
        <v>1950</v>
      </c>
      <c r="F350" s="407">
        <v>1950</v>
      </c>
      <c r="G350" s="28">
        <v>1950</v>
      </c>
      <c r="H350" s="400" t="s">
        <v>980</v>
      </c>
      <c r="I350" s="405">
        <f t="shared" si="8"/>
        <v>0</v>
      </c>
    </row>
    <row r="351" spans="1:9">
      <c r="A351" s="360" t="s">
        <v>462</v>
      </c>
      <c r="B351" s="360" t="s">
        <v>972</v>
      </c>
      <c r="C351" s="360">
        <v>4</v>
      </c>
      <c r="D351" s="354" t="s">
        <v>444</v>
      </c>
      <c r="E351" s="403">
        <v>1950</v>
      </c>
      <c r="F351" s="407">
        <v>1950</v>
      </c>
      <c r="G351" s="28">
        <v>1950</v>
      </c>
      <c r="H351" s="400" t="s">
        <v>980</v>
      </c>
      <c r="I351" s="405">
        <f t="shared" si="8"/>
        <v>0</v>
      </c>
    </row>
    <row r="352" spans="1:9">
      <c r="A352" s="360" t="s">
        <v>462</v>
      </c>
      <c r="B352" s="360" t="s">
        <v>972</v>
      </c>
      <c r="C352" s="360">
        <v>5</v>
      </c>
      <c r="D352" s="354" t="s">
        <v>568</v>
      </c>
      <c r="E352" s="403">
        <v>1000</v>
      </c>
      <c r="F352" s="407">
        <v>1000</v>
      </c>
      <c r="G352" s="28">
        <v>1000</v>
      </c>
      <c r="H352" s="400" t="s">
        <v>980</v>
      </c>
      <c r="I352" s="405">
        <f t="shared" si="8"/>
        <v>0</v>
      </c>
    </row>
    <row r="353" spans="1:9">
      <c r="A353" s="360" t="s">
        <v>462</v>
      </c>
      <c r="B353" s="360" t="s">
        <v>972</v>
      </c>
      <c r="C353" s="360">
        <v>6</v>
      </c>
      <c r="D353" s="354" t="s">
        <v>496</v>
      </c>
      <c r="E353" s="406">
        <v>1950</v>
      </c>
      <c r="F353" s="407">
        <v>1950</v>
      </c>
      <c r="G353" s="28">
        <v>1950</v>
      </c>
      <c r="H353" s="400" t="s">
        <v>980</v>
      </c>
      <c r="I353" s="405">
        <f t="shared" si="8"/>
        <v>0</v>
      </c>
    </row>
    <row r="354" spans="1:9">
      <c r="A354" s="360" t="s">
        <v>462</v>
      </c>
      <c r="B354" s="360" t="s">
        <v>972</v>
      </c>
      <c r="C354" s="360">
        <v>7</v>
      </c>
      <c r="D354" s="354" t="s">
        <v>783</v>
      </c>
      <c r="E354" s="406">
        <v>1950</v>
      </c>
      <c r="F354" s="407">
        <v>1950</v>
      </c>
      <c r="G354" s="28">
        <v>1950</v>
      </c>
      <c r="H354" s="400" t="s">
        <v>980</v>
      </c>
      <c r="I354" s="405">
        <f t="shared" si="8"/>
        <v>0</v>
      </c>
    </row>
    <row r="355" spans="1:9">
      <c r="A355" s="360" t="s">
        <v>462</v>
      </c>
      <c r="B355" s="360" t="s">
        <v>972</v>
      </c>
      <c r="C355" s="360">
        <v>8</v>
      </c>
      <c r="D355" s="354" t="s">
        <v>937</v>
      </c>
      <c r="E355" s="406">
        <v>1000</v>
      </c>
      <c r="F355" s="407">
        <v>2000</v>
      </c>
      <c r="G355" s="28">
        <f>1000+3000</f>
        <v>4000</v>
      </c>
      <c r="H355" s="400" t="s">
        <v>980</v>
      </c>
      <c r="I355" s="405">
        <f t="shared" si="8"/>
        <v>-2000</v>
      </c>
    </row>
    <row r="356" spans="1:9">
      <c r="A356" s="360" t="s">
        <v>462</v>
      </c>
      <c r="B356" s="360" t="s">
        <v>972</v>
      </c>
      <c r="C356" s="360">
        <v>9</v>
      </c>
      <c r="D356" s="354" t="s">
        <v>938</v>
      </c>
      <c r="E356" s="406">
        <v>1950</v>
      </c>
      <c r="F356" s="407">
        <f>1950+1950</f>
        <v>3900</v>
      </c>
      <c r="G356" s="28">
        <v>3900</v>
      </c>
      <c r="H356" s="400" t="s">
        <v>980</v>
      </c>
      <c r="I356" s="405">
        <f t="shared" si="8"/>
        <v>0</v>
      </c>
    </row>
    <row r="357" spans="1:9">
      <c r="A357" s="360" t="s">
        <v>462</v>
      </c>
      <c r="B357" s="360" t="s">
        <v>973</v>
      </c>
      <c r="C357" s="360">
        <v>1</v>
      </c>
      <c r="D357" s="354" t="s">
        <v>564</v>
      </c>
      <c r="E357" s="404">
        <v>1950</v>
      </c>
      <c r="F357" s="405">
        <v>1950</v>
      </c>
      <c r="G357" s="28">
        <v>1950</v>
      </c>
      <c r="H357" s="400" t="s">
        <v>980</v>
      </c>
      <c r="I357" s="405">
        <f t="shared" si="8"/>
        <v>0</v>
      </c>
    </row>
    <row r="358" spans="1:9">
      <c r="A358" s="360" t="s">
        <v>462</v>
      </c>
      <c r="B358" s="360" t="s">
        <v>973</v>
      </c>
      <c r="C358" s="360">
        <v>2</v>
      </c>
      <c r="D358" s="361" t="s">
        <v>803</v>
      </c>
      <c r="E358" s="404">
        <v>1950</v>
      </c>
      <c r="F358" s="405">
        <v>1950</v>
      </c>
      <c r="G358" s="28">
        <v>1950</v>
      </c>
      <c r="H358" s="400" t="s">
        <v>980</v>
      </c>
      <c r="I358" s="405">
        <f t="shared" si="8"/>
        <v>0</v>
      </c>
    </row>
    <row r="359" spans="1:9">
      <c r="A359" s="360" t="s">
        <v>462</v>
      </c>
      <c r="B359" s="360" t="s">
        <v>973</v>
      </c>
      <c r="C359" s="360">
        <v>3</v>
      </c>
      <c r="D359" s="354" t="s">
        <v>366</v>
      </c>
      <c r="E359" s="404">
        <v>1950</v>
      </c>
      <c r="F359" s="405">
        <v>1950</v>
      </c>
      <c r="G359" s="28">
        <v>1950</v>
      </c>
      <c r="H359" s="400" t="s">
        <v>980</v>
      </c>
      <c r="I359" s="405">
        <f t="shared" si="8"/>
        <v>0</v>
      </c>
    </row>
    <row r="360" spans="1:9">
      <c r="A360" s="360" t="s">
        <v>462</v>
      </c>
      <c r="B360" s="360" t="s">
        <v>973</v>
      </c>
      <c r="C360" s="360">
        <v>4</v>
      </c>
      <c r="D360" s="361" t="s">
        <v>786</v>
      </c>
      <c r="E360" s="404">
        <v>1950</v>
      </c>
      <c r="F360" s="405">
        <v>1950</v>
      </c>
      <c r="G360" s="28">
        <v>1950</v>
      </c>
      <c r="H360" s="400" t="s">
        <v>980</v>
      </c>
      <c r="I360" s="405">
        <f t="shared" si="8"/>
        <v>0</v>
      </c>
    </row>
    <row r="361" spans="1:9">
      <c r="A361" s="360" t="s">
        <v>462</v>
      </c>
      <c r="B361" s="360" t="s">
        <v>973</v>
      </c>
      <c r="C361" s="360">
        <v>5</v>
      </c>
      <c r="D361" s="354" t="s">
        <v>133</v>
      </c>
      <c r="E361" s="404">
        <v>1950</v>
      </c>
      <c r="F361" s="405">
        <v>1950</v>
      </c>
      <c r="G361" s="28">
        <v>1950</v>
      </c>
      <c r="H361" s="400" t="s">
        <v>980</v>
      </c>
      <c r="I361" s="405">
        <f t="shared" si="8"/>
        <v>0</v>
      </c>
    </row>
    <row r="362" spans="1:9">
      <c r="A362" s="360" t="s">
        <v>462</v>
      </c>
      <c r="B362" s="360" t="s">
        <v>973</v>
      </c>
      <c r="C362" s="360">
        <v>6</v>
      </c>
      <c r="D362" s="354" t="s">
        <v>625</v>
      </c>
      <c r="E362" s="404">
        <v>1000</v>
      </c>
      <c r="F362" s="405">
        <v>1000</v>
      </c>
      <c r="G362" s="28">
        <v>1000</v>
      </c>
      <c r="H362" s="400" t="s">
        <v>980</v>
      </c>
      <c r="I362" s="405">
        <f t="shared" si="8"/>
        <v>0</v>
      </c>
    </row>
    <row r="363" spans="1:9">
      <c r="A363" s="360" t="s">
        <v>462</v>
      </c>
      <c r="B363" s="360" t="s">
        <v>973</v>
      </c>
      <c r="C363" s="360">
        <v>7</v>
      </c>
      <c r="D363" s="361" t="s">
        <v>119</v>
      </c>
      <c r="E363" s="404">
        <v>1950</v>
      </c>
      <c r="F363" s="405">
        <v>1950</v>
      </c>
      <c r="G363" s="28">
        <v>1950</v>
      </c>
      <c r="H363" s="400" t="s">
        <v>980</v>
      </c>
      <c r="I363" s="405">
        <f t="shared" si="8"/>
        <v>0</v>
      </c>
    </row>
    <row r="364" spans="1:9">
      <c r="A364" s="360" t="s">
        <v>462</v>
      </c>
      <c r="B364" s="360" t="s">
        <v>973</v>
      </c>
      <c r="C364" s="360">
        <v>8</v>
      </c>
      <c r="D364" s="354" t="s">
        <v>939</v>
      </c>
      <c r="E364" s="404">
        <v>1950</v>
      </c>
      <c r="F364" s="405">
        <v>1950</v>
      </c>
      <c r="G364" s="28">
        <v>1950</v>
      </c>
      <c r="H364" s="400" t="s">
        <v>980</v>
      </c>
      <c r="I364" s="405">
        <f t="shared" si="8"/>
        <v>0</v>
      </c>
    </row>
    <row r="365" spans="1:9">
      <c r="A365" s="360" t="s">
        <v>462</v>
      </c>
      <c r="B365" s="360" t="s">
        <v>973</v>
      </c>
      <c r="C365" s="360">
        <v>9</v>
      </c>
      <c r="D365" s="354" t="s">
        <v>940</v>
      </c>
      <c r="E365" s="404">
        <v>1950</v>
      </c>
      <c r="F365" s="405">
        <v>1950</v>
      </c>
      <c r="G365" s="28">
        <v>1950</v>
      </c>
      <c r="H365" s="400" t="s">
        <v>980</v>
      </c>
      <c r="I365" s="405">
        <f t="shared" si="8"/>
        <v>0</v>
      </c>
    </row>
    <row r="366" spans="1:9">
      <c r="A366" s="360" t="s">
        <v>462</v>
      </c>
      <c r="B366" s="360" t="s">
        <v>973</v>
      </c>
      <c r="C366" s="360">
        <v>10</v>
      </c>
      <c r="D366" s="354" t="s">
        <v>1000</v>
      </c>
      <c r="E366" s="404">
        <v>1950</v>
      </c>
      <c r="F366" s="405">
        <v>1950</v>
      </c>
      <c r="G366" s="28">
        <v>1950</v>
      </c>
      <c r="H366" s="400" t="s">
        <v>980</v>
      </c>
      <c r="I366" s="405">
        <f t="shared" si="8"/>
        <v>0</v>
      </c>
    </row>
    <row r="367" spans="1:9">
      <c r="A367" s="360" t="s">
        <v>462</v>
      </c>
      <c r="B367" s="360" t="s">
        <v>974</v>
      </c>
      <c r="C367" s="360">
        <v>1</v>
      </c>
      <c r="D367" s="354" t="s">
        <v>561</v>
      </c>
      <c r="E367" s="404">
        <v>0</v>
      </c>
      <c r="F367" s="405">
        <v>0</v>
      </c>
      <c r="G367" s="28">
        <v>0</v>
      </c>
      <c r="H367" s="400" t="s">
        <v>980</v>
      </c>
      <c r="I367" s="405">
        <f t="shared" si="8"/>
        <v>0</v>
      </c>
    </row>
    <row r="368" spans="1:9">
      <c r="A368" s="360" t="s">
        <v>462</v>
      </c>
      <c r="B368" s="360" t="s">
        <v>974</v>
      </c>
      <c r="C368" s="360">
        <v>2</v>
      </c>
      <c r="D368" s="354" t="s">
        <v>691</v>
      </c>
      <c r="E368" s="404">
        <v>1950</v>
      </c>
      <c r="F368" s="405">
        <v>1950</v>
      </c>
      <c r="G368" s="28">
        <v>1950</v>
      </c>
      <c r="H368" s="400" t="s">
        <v>980</v>
      </c>
      <c r="I368" s="405">
        <f t="shared" si="8"/>
        <v>0</v>
      </c>
    </row>
    <row r="369" spans="1:9">
      <c r="A369" s="360" t="s">
        <v>462</v>
      </c>
      <c r="B369" s="360" t="s">
        <v>974</v>
      </c>
      <c r="C369" s="360">
        <v>3</v>
      </c>
      <c r="D369" s="354" t="s">
        <v>522</v>
      </c>
      <c r="E369" s="404">
        <v>1950</v>
      </c>
      <c r="F369" s="405">
        <v>1950</v>
      </c>
      <c r="G369" s="28">
        <v>1950</v>
      </c>
      <c r="H369" s="400" t="s">
        <v>980</v>
      </c>
      <c r="I369" s="405">
        <f t="shared" si="8"/>
        <v>0</v>
      </c>
    </row>
    <row r="370" spans="1:9">
      <c r="A370" s="360" t="s">
        <v>462</v>
      </c>
      <c r="B370" s="360" t="s">
        <v>974</v>
      </c>
      <c r="C370" s="360">
        <v>4</v>
      </c>
      <c r="D370" s="354" t="s">
        <v>498</v>
      </c>
      <c r="E370" s="404">
        <v>1950</v>
      </c>
      <c r="F370" s="405">
        <v>1950</v>
      </c>
      <c r="G370" s="28">
        <v>1950</v>
      </c>
      <c r="H370" s="400" t="s">
        <v>980</v>
      </c>
      <c r="I370" s="405">
        <f t="shared" si="8"/>
        <v>0</v>
      </c>
    </row>
    <row r="371" spans="1:9">
      <c r="A371" s="360" t="s">
        <v>462</v>
      </c>
      <c r="B371" s="360" t="s">
        <v>974</v>
      </c>
      <c r="C371" s="360">
        <v>5</v>
      </c>
      <c r="D371" s="354" t="s">
        <v>537</v>
      </c>
      <c r="E371" s="404">
        <v>1950</v>
      </c>
      <c r="F371" s="405">
        <v>1950</v>
      </c>
      <c r="G371" s="28">
        <v>1950</v>
      </c>
      <c r="H371" s="400" t="s">
        <v>980</v>
      </c>
      <c r="I371" s="405">
        <f t="shared" si="8"/>
        <v>0</v>
      </c>
    </row>
    <row r="372" spans="1:9">
      <c r="A372" s="360" t="s">
        <v>462</v>
      </c>
      <c r="B372" s="360" t="s">
        <v>974</v>
      </c>
      <c r="C372" s="360">
        <v>6</v>
      </c>
      <c r="D372" s="354" t="s">
        <v>558</v>
      </c>
      <c r="E372" s="404">
        <v>1950</v>
      </c>
      <c r="F372" s="405">
        <v>1950</v>
      </c>
      <c r="G372" s="28">
        <v>1950</v>
      </c>
      <c r="H372" s="400" t="s">
        <v>980</v>
      </c>
      <c r="I372" s="405">
        <f t="shared" si="8"/>
        <v>0</v>
      </c>
    </row>
    <row r="373" spans="1:9">
      <c r="A373" s="360" t="s">
        <v>462</v>
      </c>
      <c r="B373" s="360" t="s">
        <v>974</v>
      </c>
      <c r="C373" s="360">
        <v>7</v>
      </c>
      <c r="D373" s="354" t="s">
        <v>534</v>
      </c>
      <c r="E373" s="404">
        <v>1950</v>
      </c>
      <c r="F373" s="405">
        <v>1950</v>
      </c>
      <c r="G373" s="28">
        <v>1950</v>
      </c>
      <c r="H373" s="400" t="s">
        <v>980</v>
      </c>
      <c r="I373" s="405">
        <f t="shared" si="8"/>
        <v>0</v>
      </c>
    </row>
    <row r="374" spans="1:9">
      <c r="A374" s="360" t="s">
        <v>462</v>
      </c>
      <c r="B374" s="360" t="s">
        <v>974</v>
      </c>
      <c r="C374" s="360">
        <v>8</v>
      </c>
      <c r="D374" s="354" t="s">
        <v>586</v>
      </c>
      <c r="E374" s="404">
        <v>1950</v>
      </c>
      <c r="F374" s="405">
        <v>1950</v>
      </c>
      <c r="G374" s="28">
        <v>1950</v>
      </c>
      <c r="H374" s="400" t="s">
        <v>980</v>
      </c>
      <c r="I374" s="405">
        <f t="shared" si="8"/>
        <v>0</v>
      </c>
    </row>
    <row r="375" spans="1:9">
      <c r="A375" s="360" t="s">
        <v>462</v>
      </c>
      <c r="B375" s="360" t="s">
        <v>974</v>
      </c>
      <c r="C375" s="360">
        <v>9</v>
      </c>
      <c r="D375" s="354" t="s">
        <v>789</v>
      </c>
      <c r="E375" s="404">
        <v>1950</v>
      </c>
      <c r="F375" s="405">
        <v>1950</v>
      </c>
      <c r="G375" s="28">
        <v>1950</v>
      </c>
      <c r="H375" s="400" t="s">
        <v>980</v>
      </c>
      <c r="I375" s="405">
        <f t="shared" si="8"/>
        <v>0</v>
      </c>
    </row>
    <row r="376" spans="1:9">
      <c r="A376" s="360" t="s">
        <v>462</v>
      </c>
      <c r="B376" s="360" t="s">
        <v>974</v>
      </c>
      <c r="C376" s="360">
        <v>10</v>
      </c>
      <c r="D376" s="354" t="s">
        <v>544</v>
      </c>
      <c r="E376" s="404">
        <v>1950</v>
      </c>
      <c r="F376" s="405">
        <v>1950</v>
      </c>
      <c r="G376" s="28">
        <v>1950</v>
      </c>
      <c r="H376" s="400" t="s">
        <v>980</v>
      </c>
      <c r="I376" s="405">
        <f t="shared" si="8"/>
        <v>0</v>
      </c>
    </row>
    <row r="377" spans="1:9">
      <c r="A377" s="360" t="s">
        <v>462</v>
      </c>
      <c r="B377" s="360" t="s">
        <v>974</v>
      </c>
      <c r="C377" s="360">
        <v>11</v>
      </c>
      <c r="D377" s="354" t="s">
        <v>816</v>
      </c>
      <c r="E377" s="404">
        <v>1950</v>
      </c>
      <c r="F377" s="405">
        <v>1950</v>
      </c>
      <c r="G377" s="28">
        <v>1950</v>
      </c>
      <c r="H377" s="400" t="s">
        <v>980</v>
      </c>
      <c r="I377" s="405">
        <f t="shared" si="8"/>
        <v>0</v>
      </c>
    </row>
    <row r="378" spans="1:9">
      <c r="A378" s="360" t="s">
        <v>462</v>
      </c>
      <c r="B378" s="360" t="s">
        <v>974</v>
      </c>
      <c r="C378" s="360">
        <v>12</v>
      </c>
      <c r="D378" s="354" t="s">
        <v>174</v>
      </c>
      <c r="E378" s="404">
        <v>1000</v>
      </c>
      <c r="F378" s="405">
        <v>1000</v>
      </c>
      <c r="G378" s="28">
        <v>1000</v>
      </c>
      <c r="H378" s="400" t="s">
        <v>980</v>
      </c>
      <c r="I378" s="405">
        <f t="shared" si="8"/>
        <v>0</v>
      </c>
    </row>
    <row r="379" spans="1:9">
      <c r="A379" s="360" t="s">
        <v>462</v>
      </c>
      <c r="B379" s="360" t="s">
        <v>1010</v>
      </c>
      <c r="D379" s="360" t="s">
        <v>1051</v>
      </c>
      <c r="E379" s="399"/>
      <c r="F379" s="399"/>
      <c r="G379" s="399">
        <f>5590+1180</f>
        <v>6770</v>
      </c>
      <c r="H379" s="400" t="s">
        <v>980</v>
      </c>
      <c r="I379" s="399"/>
    </row>
    <row r="380" spans="1:9">
      <c r="A380" s="360" t="s">
        <v>477</v>
      </c>
      <c r="B380" s="360" t="s">
        <v>1010</v>
      </c>
      <c r="E380" s="399"/>
      <c r="F380" s="399"/>
      <c r="G380" s="430">
        <f>7050+6690</f>
        <v>13740</v>
      </c>
      <c r="H380" s="398" t="s">
        <v>981</v>
      </c>
      <c r="I380" s="399"/>
    </row>
    <row r="381" spans="1:9">
      <c r="A381" s="360" t="s">
        <v>462</v>
      </c>
      <c r="B381" s="360" t="s">
        <v>1010</v>
      </c>
      <c r="E381" s="399"/>
      <c r="F381" s="399"/>
      <c r="H381" s="398"/>
      <c r="I381" s="399"/>
    </row>
    <row r="382" spans="1:9">
      <c r="A382" s="360" t="s">
        <v>462</v>
      </c>
      <c r="B382" s="360" t="s">
        <v>1010</v>
      </c>
      <c r="E382" s="399"/>
      <c r="F382" s="399"/>
      <c r="H382" s="398"/>
      <c r="I382" s="399"/>
    </row>
    <row r="383" spans="1:9">
      <c r="A383" s="360" t="s">
        <v>477</v>
      </c>
      <c r="B383" s="360" t="s">
        <v>1039</v>
      </c>
      <c r="E383" s="399"/>
      <c r="F383" s="399"/>
      <c r="G383" s="430">
        <v>1480</v>
      </c>
      <c r="H383" s="400" t="s">
        <v>981</v>
      </c>
      <c r="I383" s="399"/>
    </row>
    <row r="384" spans="1:9">
      <c r="A384" s="360" t="s">
        <v>477</v>
      </c>
      <c r="B384" s="360" t="s">
        <v>1040</v>
      </c>
      <c r="E384" s="399"/>
      <c r="F384" s="399"/>
      <c r="G384" s="430">
        <f>400+200</f>
        <v>600</v>
      </c>
      <c r="H384" s="400" t="s">
        <v>981</v>
      </c>
      <c r="I384" s="399"/>
    </row>
    <row r="385" spans="5:9">
      <c r="E385" s="399"/>
      <c r="F385" s="399"/>
      <c r="H385" s="398"/>
      <c r="I385" s="399"/>
    </row>
    <row r="386" spans="5:9">
      <c r="E386" s="399"/>
      <c r="F386" s="399"/>
      <c r="H386" s="398"/>
      <c r="I386" s="399"/>
    </row>
    <row r="387" spans="5:9">
      <c r="E387" s="408" t="s">
        <v>998</v>
      </c>
      <c r="F387" s="408">
        <f>SUBTOTAL(9,F2:F386)</f>
        <v>584750</v>
      </c>
      <c r="G387" s="429">
        <f>SUBTOTAL(9,G2:G386)</f>
        <v>606590</v>
      </c>
      <c r="H387" s="408"/>
      <c r="I387" s="408">
        <f>SUBTOTAL(9,I2:I386)</f>
        <v>750</v>
      </c>
    </row>
    <row r="388" spans="5:9">
      <c r="E388" s="399"/>
      <c r="F388" s="399"/>
      <c r="H388" s="398"/>
      <c r="I388" s="399"/>
    </row>
    <row r="389" spans="5:9">
      <c r="E389" s="399"/>
      <c r="F389" s="399"/>
      <c r="H389" s="398"/>
      <c r="I389" s="399"/>
    </row>
    <row r="390" spans="5:9">
      <c r="E390" s="399"/>
      <c r="F390" s="399"/>
      <c r="H390" s="398"/>
      <c r="I390" s="399"/>
    </row>
    <row r="391" spans="5:9">
      <c r="E391" s="399"/>
      <c r="F391" s="399"/>
      <c r="H391" s="398"/>
      <c r="I391" s="399"/>
    </row>
    <row r="392" spans="5:9">
      <c r="E392" s="399"/>
      <c r="F392" s="399"/>
      <c r="H392" s="398"/>
      <c r="I392" s="399"/>
    </row>
    <row r="393" spans="5:9">
      <c r="E393" s="399"/>
      <c r="F393" s="399"/>
      <c r="H393" s="398"/>
      <c r="I393" s="399"/>
    </row>
    <row r="394" spans="5:9">
      <c r="E394" s="399"/>
      <c r="F394" s="399"/>
      <c r="H394" s="398"/>
      <c r="I394" s="399"/>
    </row>
    <row r="395" spans="5:9">
      <c r="E395" s="399"/>
      <c r="F395" s="399"/>
      <c r="H395" s="398"/>
      <c r="I395" s="399"/>
    </row>
    <row r="396" spans="5:9">
      <c r="E396" s="399"/>
      <c r="F396" s="399"/>
      <c r="H396" s="398"/>
      <c r="I396" s="399"/>
    </row>
    <row r="397" spans="5:9">
      <c r="E397" s="399"/>
      <c r="F397" s="399"/>
      <c r="H397" s="398"/>
      <c r="I397" s="399"/>
    </row>
    <row r="398" spans="5:9">
      <c r="E398" s="399"/>
      <c r="F398" s="399"/>
      <c r="H398" s="398"/>
      <c r="I398" s="399"/>
    </row>
    <row r="399" spans="5:9">
      <c r="E399" s="399"/>
      <c r="F399" s="399"/>
      <c r="H399" s="398"/>
      <c r="I399" s="399"/>
    </row>
    <row r="400" spans="5:9">
      <c r="E400" s="399"/>
      <c r="F400" s="399"/>
      <c r="H400" s="398"/>
      <c r="I400" s="399"/>
    </row>
    <row r="401" spans="5:9">
      <c r="E401" s="399"/>
      <c r="F401" s="399"/>
      <c r="H401" s="398"/>
      <c r="I401" s="399"/>
    </row>
    <row r="402" spans="5:9">
      <c r="E402" s="399"/>
      <c r="F402" s="399"/>
      <c r="H402" s="398"/>
      <c r="I402" s="399"/>
    </row>
    <row r="403" spans="5:9">
      <c r="E403" s="399"/>
      <c r="F403" s="399"/>
      <c r="H403" s="398"/>
      <c r="I403" s="399"/>
    </row>
    <row r="404" spans="5:9">
      <c r="E404" s="399"/>
      <c r="F404" s="399"/>
      <c r="H404" s="398"/>
      <c r="I404" s="399"/>
    </row>
    <row r="405" spans="5:9">
      <c r="E405" s="399"/>
      <c r="F405" s="399"/>
      <c r="H405" s="398"/>
      <c r="I405" s="399"/>
    </row>
    <row r="406" spans="5:9">
      <c r="E406" s="399"/>
      <c r="F406" s="399"/>
      <c r="H406" s="398"/>
      <c r="I406" s="399"/>
    </row>
    <row r="407" spans="5:9">
      <c r="E407" s="399"/>
      <c r="F407" s="399"/>
      <c r="H407" s="398"/>
      <c r="I407" s="399"/>
    </row>
    <row r="408" spans="5:9">
      <c r="E408" s="399"/>
      <c r="F408" s="399"/>
      <c r="H408" s="398"/>
      <c r="I408" s="399"/>
    </row>
    <row r="409" spans="5:9">
      <c r="E409" s="399"/>
      <c r="F409" s="399"/>
      <c r="H409" s="398"/>
      <c r="I409" s="399"/>
    </row>
    <row r="410" spans="5:9">
      <c r="E410" s="399"/>
      <c r="F410" s="399"/>
      <c r="H410" s="398"/>
      <c r="I410" s="399"/>
    </row>
    <row r="411" spans="5:9">
      <c r="E411" s="399"/>
      <c r="F411" s="399"/>
      <c r="H411" s="398"/>
      <c r="I411" s="399"/>
    </row>
    <row r="412" spans="5:9">
      <c r="E412" s="399"/>
      <c r="F412" s="399"/>
      <c r="H412" s="398"/>
      <c r="I412" s="399"/>
    </row>
    <row r="413" spans="5:9">
      <c r="E413" s="399"/>
      <c r="F413" s="399"/>
      <c r="H413" s="398"/>
      <c r="I413" s="399"/>
    </row>
    <row r="414" spans="5:9">
      <c r="E414" s="399"/>
      <c r="F414" s="399"/>
      <c r="H414" s="398"/>
      <c r="I414" s="399"/>
    </row>
    <row r="415" spans="5:9">
      <c r="E415" s="399"/>
      <c r="F415" s="399"/>
      <c r="H415" s="398"/>
      <c r="I415" s="399"/>
    </row>
    <row r="416" spans="5:9">
      <c r="E416" s="399"/>
      <c r="F416" s="399"/>
      <c r="H416" s="398"/>
      <c r="I416" s="399"/>
    </row>
    <row r="417" spans="5:9">
      <c r="E417" s="399"/>
      <c r="F417" s="399"/>
      <c r="H417" s="398"/>
      <c r="I417" s="399"/>
    </row>
    <row r="418" spans="5:9">
      <c r="E418" s="399"/>
      <c r="F418" s="399"/>
      <c r="H418" s="398"/>
      <c r="I418" s="399"/>
    </row>
    <row r="419" spans="5:9">
      <c r="E419" s="399"/>
      <c r="F419" s="399"/>
      <c r="H419" s="398"/>
      <c r="I419" s="399"/>
    </row>
    <row r="420" spans="5:9">
      <c r="E420" s="399"/>
      <c r="F420" s="399"/>
      <c r="H420" s="398"/>
      <c r="I420" s="399"/>
    </row>
    <row r="421" spans="5:9">
      <c r="E421" s="399"/>
      <c r="F421" s="399"/>
      <c r="H421" s="398"/>
      <c r="I421" s="399"/>
    </row>
    <row r="422" spans="5:9">
      <c r="E422" s="399"/>
      <c r="F422" s="399"/>
      <c r="H422" s="398"/>
      <c r="I422" s="399"/>
    </row>
    <row r="423" spans="5:9">
      <c r="E423" s="399"/>
      <c r="F423" s="399"/>
      <c r="H423" s="398"/>
      <c r="I423" s="399"/>
    </row>
    <row r="424" spans="5:9">
      <c r="E424" s="399"/>
      <c r="F424" s="399"/>
      <c r="H424" s="398"/>
      <c r="I424" s="399"/>
    </row>
    <row r="425" spans="5:9">
      <c r="E425" s="399"/>
      <c r="F425" s="399"/>
      <c r="H425" s="398"/>
      <c r="I425" s="399"/>
    </row>
    <row r="426" spans="5:9">
      <c r="E426" s="399"/>
      <c r="F426" s="399"/>
      <c r="H426" s="398"/>
      <c r="I426" s="399"/>
    </row>
    <row r="427" spans="5:9">
      <c r="E427" s="399"/>
      <c r="F427" s="399"/>
      <c r="H427" s="398"/>
      <c r="I427" s="399"/>
    </row>
    <row r="428" spans="5:9">
      <c r="E428" s="399"/>
      <c r="F428" s="399"/>
      <c r="H428" s="398"/>
      <c r="I428" s="399"/>
    </row>
    <row r="429" spans="5:9">
      <c r="E429" s="399"/>
      <c r="F429" s="399"/>
      <c r="H429" s="398"/>
      <c r="I429" s="399"/>
    </row>
    <row r="430" spans="5:9">
      <c r="E430" s="399"/>
      <c r="F430" s="399"/>
      <c r="H430" s="398"/>
      <c r="I430" s="399"/>
    </row>
    <row r="431" spans="5:9">
      <c r="E431" s="399"/>
      <c r="F431" s="399"/>
      <c r="H431" s="398"/>
      <c r="I431" s="399"/>
    </row>
    <row r="432" spans="5:9">
      <c r="E432" s="399"/>
      <c r="F432" s="399"/>
      <c r="H432" s="398"/>
      <c r="I432" s="399"/>
    </row>
    <row r="433" spans="5:9">
      <c r="E433" s="399"/>
      <c r="F433" s="399"/>
      <c r="H433" s="398"/>
      <c r="I433" s="399"/>
    </row>
    <row r="434" spans="5:9">
      <c r="E434" s="399"/>
      <c r="F434" s="399"/>
      <c r="H434" s="398"/>
      <c r="I434" s="399"/>
    </row>
    <row r="435" spans="5:9">
      <c r="E435" s="399"/>
      <c r="F435" s="399"/>
      <c r="H435" s="398"/>
      <c r="I435" s="399"/>
    </row>
    <row r="436" spans="5:9">
      <c r="E436" s="399"/>
      <c r="F436" s="399"/>
      <c r="H436" s="398"/>
      <c r="I436" s="399"/>
    </row>
    <row r="437" spans="5:9">
      <c r="E437" s="399"/>
      <c r="F437" s="399"/>
      <c r="H437" s="398"/>
      <c r="I437" s="399"/>
    </row>
    <row r="438" spans="5:9">
      <c r="E438" s="399"/>
      <c r="F438" s="399"/>
      <c r="H438" s="398"/>
      <c r="I438" s="399"/>
    </row>
    <row r="439" spans="5:9">
      <c r="E439" s="399"/>
      <c r="F439" s="399"/>
      <c r="H439" s="398"/>
      <c r="I439" s="399"/>
    </row>
    <row r="440" spans="5:9">
      <c r="E440" s="399"/>
      <c r="F440" s="399"/>
      <c r="H440" s="398"/>
      <c r="I440" s="399"/>
    </row>
    <row r="441" spans="5:9">
      <c r="E441" s="399"/>
      <c r="F441" s="399"/>
      <c r="H441" s="398"/>
      <c r="I441" s="399"/>
    </row>
    <row r="442" spans="5:9">
      <c r="E442" s="399"/>
      <c r="F442" s="399"/>
      <c r="H442" s="398"/>
      <c r="I442" s="399"/>
    </row>
    <row r="443" spans="5:9">
      <c r="E443" s="399"/>
      <c r="F443" s="399"/>
      <c r="H443" s="398"/>
      <c r="I443" s="399"/>
    </row>
    <row r="444" spans="5:9">
      <c r="E444" s="399"/>
      <c r="F444" s="399"/>
      <c r="H444" s="398"/>
      <c r="I444" s="399"/>
    </row>
    <row r="445" spans="5:9">
      <c r="E445" s="399"/>
      <c r="F445" s="399"/>
      <c r="H445" s="398"/>
      <c r="I445" s="399"/>
    </row>
    <row r="446" spans="5:9">
      <c r="E446" s="399"/>
      <c r="F446" s="399"/>
      <c r="H446" s="398"/>
      <c r="I446" s="399"/>
    </row>
    <row r="447" spans="5:9">
      <c r="E447" s="399"/>
      <c r="F447" s="399"/>
      <c r="H447" s="398"/>
      <c r="I447" s="399"/>
    </row>
    <row r="448" spans="5:9">
      <c r="E448" s="399"/>
      <c r="F448" s="399"/>
      <c r="H448" s="398"/>
      <c r="I448" s="399"/>
    </row>
    <row r="449" spans="5:9">
      <c r="E449" s="399"/>
      <c r="F449" s="399"/>
      <c r="H449" s="398"/>
      <c r="I449" s="399"/>
    </row>
    <row r="450" spans="5:9">
      <c r="E450" s="399"/>
      <c r="F450" s="399"/>
      <c r="H450" s="398"/>
      <c r="I450" s="399"/>
    </row>
    <row r="451" spans="5:9">
      <c r="E451" s="399"/>
      <c r="F451" s="399"/>
      <c r="H451" s="398"/>
      <c r="I451" s="399"/>
    </row>
    <row r="452" spans="5:9">
      <c r="E452" s="399"/>
      <c r="F452" s="399"/>
      <c r="H452" s="398"/>
      <c r="I452" s="399"/>
    </row>
    <row r="453" spans="5:9">
      <c r="E453" s="399"/>
      <c r="F453" s="399"/>
      <c r="H453" s="398"/>
      <c r="I453" s="399"/>
    </row>
    <row r="454" spans="5:9">
      <c r="E454" s="399"/>
      <c r="F454" s="399"/>
      <c r="H454" s="398"/>
      <c r="I454" s="399"/>
    </row>
    <row r="455" spans="5:9">
      <c r="E455" s="399"/>
      <c r="F455" s="399"/>
      <c r="H455" s="398"/>
      <c r="I455" s="399"/>
    </row>
    <row r="456" spans="5:9">
      <c r="E456" s="399"/>
      <c r="F456" s="399"/>
      <c r="H456" s="398"/>
      <c r="I456" s="399"/>
    </row>
    <row r="457" spans="5:9">
      <c r="E457" s="399"/>
      <c r="F457" s="399"/>
      <c r="H457" s="398"/>
      <c r="I457" s="399"/>
    </row>
    <row r="458" spans="5:9">
      <c r="E458" s="399"/>
      <c r="F458" s="399"/>
      <c r="H458" s="398"/>
      <c r="I458" s="399"/>
    </row>
    <row r="459" spans="5:9">
      <c r="E459" s="399"/>
      <c r="F459" s="399"/>
      <c r="H459" s="398"/>
      <c r="I459" s="399"/>
    </row>
  </sheetData>
  <autoFilter ref="A1:J384" xr:uid="{00000000-0009-0000-0000-000002000000}">
    <sortState xmlns:xlrd2="http://schemas.microsoft.com/office/spreadsheetml/2017/richdata2" ref="A116:J138">
      <sortCondition ref="C1:C379"/>
    </sortState>
  </autoFilter>
  <dataConsolidate/>
  <dataValidations count="3">
    <dataValidation type="list" allowBlank="1" showInputMessage="1" showErrorMessage="1" sqref="A2:A378" xr:uid="{00000000-0002-0000-0200-000000000000}">
      <formula1>$M$2:$M$3</formula1>
    </dataValidation>
    <dataValidation type="list" allowBlank="1" showInputMessage="1" showErrorMessage="1" sqref="H2:H384" xr:uid="{00000000-0002-0000-0200-000001000000}">
      <formula1>$O$2:$O$8</formula1>
    </dataValidation>
    <dataValidation type="list" allowBlank="1" showInputMessage="1" showErrorMessage="1" sqref="B2:B378" xr:uid="{00000000-0002-0000-0200-000002000000}">
      <formula1>$N$2:$N$10</formula1>
    </dataValidation>
  </dataValidations>
  <pageMargins left="0.7" right="0.7" top="0.75" bottom="0.75" header="0.3" footer="0.3"/>
  <pageSetup scale="4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4" name="Button 4">
              <controlPr defaultSize="0" print="0" autoFill="0" autoPict="0" macro="[0]!ReverseTotalPayable">
                <anchor moveWithCells="1" sizeWithCells="1">
                  <from>
                    <xdr:col>8</xdr:col>
                    <xdr:colOff>358140</xdr:colOff>
                    <xdr:row>394</xdr:row>
                    <xdr:rowOff>91440</xdr:rowOff>
                  </from>
                  <to>
                    <xdr:col>10</xdr:col>
                    <xdr:colOff>411480</xdr:colOff>
                    <xdr:row>398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5" name="Button 5">
              <controlPr defaultSize="0" print="0" autoFill="0" autoPict="0" macro="[0]!UpdateTotalPayableOnce">
                <anchor moveWithCells="1" sizeWithCells="1">
                  <from>
                    <xdr:col>8</xdr:col>
                    <xdr:colOff>350520</xdr:colOff>
                    <xdr:row>389</xdr:row>
                    <xdr:rowOff>38100</xdr:rowOff>
                  </from>
                  <to>
                    <xdr:col>10</xdr:col>
                    <xdr:colOff>434340</xdr:colOff>
                    <xdr:row>393</xdr:row>
                    <xdr:rowOff>91440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AB953"/>
  <sheetViews>
    <sheetView topLeftCell="A110" zoomScale="70" zoomScaleNormal="70" workbookViewId="0">
      <selection activeCell="F109" sqref="F109"/>
    </sheetView>
  </sheetViews>
  <sheetFormatPr defaultColWidth="14.44140625" defaultRowHeight="15" customHeight="1"/>
  <cols>
    <col min="1" max="1" width="10.33203125" customWidth="1"/>
    <col min="2" max="2" width="34" bestFit="1" customWidth="1"/>
    <col min="3" max="3" width="30.88671875" customWidth="1"/>
    <col min="4" max="4" width="18.33203125" bestFit="1" customWidth="1"/>
    <col min="5" max="6" width="20.5546875" customWidth="1"/>
    <col min="7" max="7" width="0.88671875" customWidth="1"/>
    <col min="8" max="8" width="15.6640625" bestFit="1" customWidth="1"/>
    <col min="9" max="9" width="19.5546875" style="22" customWidth="1"/>
    <col min="10" max="10" width="13.6640625" bestFit="1" customWidth="1"/>
    <col min="11" max="11" width="39.33203125" bestFit="1" customWidth="1"/>
    <col min="12" max="12" width="39.33203125" customWidth="1"/>
    <col min="13" max="13" width="18" bestFit="1" customWidth="1"/>
    <col min="14" max="14" width="7.5546875" customWidth="1"/>
    <col min="15" max="15" width="26.44140625" bestFit="1" customWidth="1"/>
    <col min="16" max="16" width="15.77734375" bestFit="1" customWidth="1"/>
    <col min="17" max="18" width="17.6640625" customWidth="1"/>
    <col min="19" max="20" width="15.6640625" customWidth="1"/>
    <col min="21" max="21" width="8.6640625" customWidth="1"/>
    <col min="22" max="22" width="11.33203125" customWidth="1"/>
    <col min="23" max="23" width="18.44140625" customWidth="1"/>
    <col min="24" max="24" width="20.5546875" bestFit="1" customWidth="1"/>
    <col min="25" max="25" width="16.109375" customWidth="1"/>
    <col min="26" max="26" width="47.6640625" customWidth="1"/>
  </cols>
  <sheetData>
    <row r="1" spans="1:28" ht="37.950000000000003" customHeight="1" thickBot="1">
      <c r="A1" s="483" t="s">
        <v>948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0"/>
      <c r="M1" s="1"/>
      <c r="N1" s="476" t="s">
        <v>949</v>
      </c>
      <c r="O1" s="476"/>
      <c r="P1" s="476"/>
      <c r="Q1" s="476"/>
      <c r="R1" s="476"/>
      <c r="S1" s="476"/>
      <c r="T1" s="476"/>
      <c r="U1" s="1"/>
      <c r="V1" s="1"/>
    </row>
    <row r="2" spans="1:28" ht="37.200000000000003" customHeight="1">
      <c r="A2" s="483" t="s">
        <v>474</v>
      </c>
      <c r="B2" s="483"/>
      <c r="C2" s="483"/>
      <c r="D2" s="483"/>
      <c r="E2" s="483"/>
      <c r="F2" s="483"/>
      <c r="G2" s="483"/>
      <c r="H2" s="483"/>
      <c r="I2" s="483"/>
      <c r="J2" s="483"/>
      <c r="K2" s="45"/>
      <c r="L2" s="45"/>
      <c r="M2" s="1" t="s">
        <v>851</v>
      </c>
      <c r="N2" s="49" t="s">
        <v>11</v>
      </c>
      <c r="O2" s="50" t="s">
        <v>80</v>
      </c>
      <c r="P2" s="50" t="s">
        <v>81</v>
      </c>
      <c r="Q2" s="240" t="s">
        <v>429</v>
      </c>
      <c r="R2" s="240" t="s">
        <v>950</v>
      </c>
      <c r="S2" s="240" t="s">
        <v>951</v>
      </c>
      <c r="T2" s="51" t="s">
        <v>247</v>
      </c>
      <c r="U2" s="1"/>
      <c r="V2" s="1"/>
    </row>
    <row r="3" spans="1:28" ht="41.4" customHeight="1">
      <c r="A3" s="106" t="s">
        <v>4</v>
      </c>
      <c r="B3" s="241" t="s">
        <v>6</v>
      </c>
      <c r="C3" s="9" t="s">
        <v>430</v>
      </c>
      <c r="D3" s="106" t="s">
        <v>431</v>
      </c>
      <c r="E3" s="106" t="s">
        <v>434</v>
      </c>
      <c r="F3" s="242" t="s">
        <v>439</v>
      </c>
      <c r="G3" s="40"/>
      <c r="H3" s="96" t="s">
        <v>190</v>
      </c>
      <c r="I3" s="96" t="s">
        <v>723</v>
      </c>
      <c r="J3" s="96" t="s">
        <v>58</v>
      </c>
      <c r="K3" s="243"/>
      <c r="L3" s="45"/>
      <c r="M3" s="1"/>
      <c r="N3" s="52">
        <v>1</v>
      </c>
      <c r="O3" s="5" t="s">
        <v>83</v>
      </c>
      <c r="P3" s="33" t="s">
        <v>82</v>
      </c>
      <c r="Q3" s="66">
        <v>14500</v>
      </c>
      <c r="R3" s="66">
        <f>+Q3*2</f>
        <v>29000</v>
      </c>
      <c r="S3" s="66">
        <v>29000</v>
      </c>
      <c r="T3" s="86">
        <f t="shared" ref="T3:T16" si="0">+R3-S3</f>
        <v>0</v>
      </c>
      <c r="U3" s="1"/>
      <c r="V3" s="31" t="s">
        <v>86</v>
      </c>
      <c r="W3" s="30"/>
      <c r="X3" s="30"/>
      <c r="Y3" s="30"/>
      <c r="Z3" s="30"/>
      <c r="AA3" s="11" t="s">
        <v>87</v>
      </c>
    </row>
    <row r="4" spans="1:28" ht="27.6" customHeight="1">
      <c r="A4" s="197">
        <v>1</v>
      </c>
      <c r="B4" s="14" t="s">
        <v>908</v>
      </c>
      <c r="C4" s="244"/>
      <c r="D4" s="122"/>
      <c r="E4" s="245"/>
      <c r="F4" s="28">
        <v>1750</v>
      </c>
      <c r="G4" s="40"/>
      <c r="H4" s="28">
        <f>+F4*2</f>
        <v>3500</v>
      </c>
      <c r="I4" s="28">
        <v>1800</v>
      </c>
      <c r="J4" s="28">
        <f>+H4-I4</f>
        <v>1700</v>
      </c>
      <c r="K4" s="243"/>
      <c r="L4" s="45">
        <f>+F4*2+J4</f>
        <v>5200</v>
      </c>
      <c r="M4" s="40"/>
      <c r="N4" s="52">
        <v>2</v>
      </c>
      <c r="O4" s="5" t="s">
        <v>147</v>
      </c>
      <c r="P4" s="33" t="s">
        <v>84</v>
      </c>
      <c r="Q4" s="66">
        <v>8000</v>
      </c>
      <c r="R4" s="66">
        <f t="shared" ref="R4:R16" si="1">+Q4*2</f>
        <v>16000</v>
      </c>
      <c r="S4" s="66">
        <v>16000</v>
      </c>
      <c r="T4" s="86">
        <f t="shared" si="0"/>
        <v>0</v>
      </c>
      <c r="U4" s="1"/>
      <c r="V4" s="246" t="s">
        <v>48</v>
      </c>
      <c r="W4" s="19" t="s">
        <v>821</v>
      </c>
      <c r="X4" s="39"/>
      <c r="Y4" s="23">
        <f>1761+1763</f>
        <v>3524</v>
      </c>
      <c r="Z4" s="104"/>
      <c r="AA4" s="17" t="s">
        <v>818</v>
      </c>
    </row>
    <row r="5" spans="1:28" ht="27.6" customHeight="1">
      <c r="A5" s="197">
        <v>2</v>
      </c>
      <c r="B5" s="14" t="s">
        <v>909</v>
      </c>
      <c r="C5" s="244"/>
      <c r="D5" s="122"/>
      <c r="E5" s="245"/>
      <c r="F5" s="28">
        <v>900</v>
      </c>
      <c r="G5" s="40"/>
      <c r="H5" s="28">
        <f t="shared" ref="H5:H35" si="2">+F5*2</f>
        <v>1800</v>
      </c>
      <c r="I5" s="28">
        <v>1800</v>
      </c>
      <c r="J5" s="28">
        <f t="shared" ref="J5:J35" si="3">+H5-I5</f>
        <v>0</v>
      </c>
      <c r="K5" s="243"/>
      <c r="L5" s="45">
        <f t="shared" ref="L5:L35" si="4">+F5*2+J5</f>
        <v>1800</v>
      </c>
      <c r="M5" s="40"/>
      <c r="N5" s="52">
        <v>3</v>
      </c>
      <c r="O5" s="5" t="s">
        <v>241</v>
      </c>
      <c r="P5" s="33" t="s">
        <v>84</v>
      </c>
      <c r="Q5" s="66">
        <v>8000</v>
      </c>
      <c r="R5" s="66">
        <f t="shared" si="1"/>
        <v>16000</v>
      </c>
      <c r="S5" s="66">
        <v>16000</v>
      </c>
      <c r="T5" s="86">
        <f t="shared" si="0"/>
        <v>0</v>
      </c>
      <c r="U5" s="1"/>
      <c r="V5" s="246" t="s">
        <v>53</v>
      </c>
      <c r="W5" s="19" t="s">
        <v>822</v>
      </c>
      <c r="X5" s="39"/>
      <c r="Y5" s="23">
        <f>3820+3870</f>
        <v>7690</v>
      </c>
      <c r="Z5" s="104"/>
      <c r="AA5" s="17" t="s">
        <v>818</v>
      </c>
    </row>
    <row r="6" spans="1:28" ht="33" customHeight="1">
      <c r="A6" s="197">
        <v>3</v>
      </c>
      <c r="B6" s="14" t="s">
        <v>910</v>
      </c>
      <c r="C6" s="244"/>
      <c r="D6" s="122"/>
      <c r="E6" s="245">
        <v>1750</v>
      </c>
      <c r="F6" s="28">
        <v>1750</v>
      </c>
      <c r="G6" s="40"/>
      <c r="H6" s="28">
        <f t="shared" si="2"/>
        <v>3500</v>
      </c>
      <c r="I6" s="28"/>
      <c r="J6" s="28">
        <f t="shared" si="3"/>
        <v>3500</v>
      </c>
      <c r="K6" s="243"/>
      <c r="L6" s="45">
        <f t="shared" si="4"/>
        <v>7000</v>
      </c>
      <c r="M6" s="40"/>
      <c r="N6" s="52">
        <v>4</v>
      </c>
      <c r="O6" s="5" t="s">
        <v>240</v>
      </c>
      <c r="P6" s="33" t="s">
        <v>84</v>
      </c>
      <c r="Q6" s="66">
        <v>8000</v>
      </c>
      <c r="R6" s="66">
        <f t="shared" si="1"/>
        <v>16000</v>
      </c>
      <c r="S6" s="66">
        <v>16000</v>
      </c>
      <c r="T6" s="86">
        <f>+R6-S6</f>
        <v>0</v>
      </c>
      <c r="U6" s="1"/>
      <c r="V6" s="246" t="s">
        <v>131</v>
      </c>
      <c r="W6" s="19" t="s">
        <v>505</v>
      </c>
      <c r="X6" s="247" t="s">
        <v>960</v>
      </c>
      <c r="Y6" s="4">
        <v>41800</v>
      </c>
      <c r="Z6" s="91"/>
      <c r="AA6" s="17" t="s">
        <v>818</v>
      </c>
    </row>
    <row r="7" spans="1:28" ht="27.6" customHeight="1">
      <c r="A7" s="197">
        <v>4</v>
      </c>
      <c r="B7" s="14" t="s">
        <v>840</v>
      </c>
      <c r="C7" s="244"/>
      <c r="D7" s="122"/>
      <c r="E7" s="245"/>
      <c r="F7" s="28">
        <v>900</v>
      </c>
      <c r="G7" s="40"/>
      <c r="H7" s="28">
        <f t="shared" si="2"/>
        <v>1800</v>
      </c>
      <c r="I7" s="28">
        <v>1800</v>
      </c>
      <c r="J7" s="28">
        <f t="shared" si="3"/>
        <v>0</v>
      </c>
      <c r="K7" s="243"/>
      <c r="L7" s="45">
        <f t="shared" si="4"/>
        <v>1800</v>
      </c>
      <c r="M7" s="40"/>
      <c r="N7" s="52">
        <v>5</v>
      </c>
      <c r="O7" s="5" t="s">
        <v>428</v>
      </c>
      <c r="P7" s="33" t="s">
        <v>84</v>
      </c>
      <c r="Q7" s="66">
        <v>9000</v>
      </c>
      <c r="R7" s="66">
        <f t="shared" si="1"/>
        <v>18000</v>
      </c>
      <c r="S7" s="66">
        <v>18000</v>
      </c>
      <c r="T7" s="86">
        <f t="shared" ref="T7:T13" si="5">+R7-S7</f>
        <v>0</v>
      </c>
      <c r="U7" s="1"/>
      <c r="V7" s="246" t="s">
        <v>246</v>
      </c>
      <c r="W7" s="19"/>
      <c r="X7" s="39"/>
      <c r="Y7" s="4"/>
      <c r="Z7" s="373">
        <f>+Y6/4</f>
        <v>10450</v>
      </c>
      <c r="AA7" s="17"/>
    </row>
    <row r="8" spans="1:28" ht="29.4" customHeight="1">
      <c r="A8" s="197">
        <v>5</v>
      </c>
      <c r="B8" s="14" t="s">
        <v>911</v>
      </c>
      <c r="C8" s="244"/>
      <c r="D8" s="122"/>
      <c r="E8" s="245"/>
      <c r="F8" s="28">
        <v>1750</v>
      </c>
      <c r="G8" s="40"/>
      <c r="H8" s="28">
        <f t="shared" si="2"/>
        <v>3500</v>
      </c>
      <c r="I8" s="28">
        <v>3500</v>
      </c>
      <c r="J8" s="28">
        <f t="shared" si="3"/>
        <v>0</v>
      </c>
      <c r="K8" s="243"/>
      <c r="L8" s="45">
        <f t="shared" si="4"/>
        <v>3500</v>
      </c>
      <c r="M8" s="40"/>
      <c r="N8" s="52">
        <v>6</v>
      </c>
      <c r="O8" s="5" t="s">
        <v>420</v>
      </c>
      <c r="P8" s="33" t="s">
        <v>84</v>
      </c>
      <c r="Q8" s="94">
        <v>8000</v>
      </c>
      <c r="R8" s="66">
        <f t="shared" si="1"/>
        <v>16000</v>
      </c>
      <c r="S8" s="66">
        <v>16000</v>
      </c>
      <c r="T8" s="86">
        <f t="shared" si="5"/>
        <v>0</v>
      </c>
      <c r="U8" s="1"/>
      <c r="V8" s="246"/>
      <c r="W8" s="19"/>
      <c r="X8" s="39"/>
      <c r="Y8" s="4"/>
      <c r="Z8" s="65"/>
      <c r="AA8" s="17"/>
    </row>
    <row r="9" spans="1:28" ht="40.200000000000003" customHeight="1">
      <c r="A9" s="197">
        <v>6</v>
      </c>
      <c r="B9" s="14" t="s">
        <v>841</v>
      </c>
      <c r="C9" s="244"/>
      <c r="D9" s="122"/>
      <c r="E9" s="245"/>
      <c r="F9" s="28">
        <v>0</v>
      </c>
      <c r="G9" s="40"/>
      <c r="H9" s="28">
        <f t="shared" si="2"/>
        <v>0</v>
      </c>
      <c r="I9" s="28">
        <v>0</v>
      </c>
      <c r="J9" s="28">
        <f t="shared" si="3"/>
        <v>0</v>
      </c>
      <c r="K9" s="243"/>
      <c r="L9" s="45">
        <f t="shared" si="4"/>
        <v>0</v>
      </c>
      <c r="M9" s="40"/>
      <c r="N9" s="52">
        <v>7</v>
      </c>
      <c r="O9" s="5" t="s">
        <v>531</v>
      </c>
      <c r="P9" s="33" t="s">
        <v>84</v>
      </c>
      <c r="Q9" s="33">
        <v>9000</v>
      </c>
      <c r="R9" s="66">
        <f t="shared" si="1"/>
        <v>18000</v>
      </c>
      <c r="S9" s="66">
        <v>18000</v>
      </c>
      <c r="T9" s="86">
        <f t="shared" si="5"/>
        <v>0</v>
      </c>
      <c r="U9" s="1"/>
      <c r="V9" s="246" t="s">
        <v>467</v>
      </c>
      <c r="W9" s="19"/>
      <c r="X9" s="39"/>
      <c r="Y9" s="4"/>
      <c r="Z9" s="65"/>
      <c r="AA9" s="17"/>
    </row>
    <row r="10" spans="1:28" ht="37.950000000000003" customHeight="1">
      <c r="A10" s="197">
        <v>7</v>
      </c>
      <c r="B10" s="14" t="s">
        <v>912</v>
      </c>
      <c r="C10" s="244"/>
      <c r="D10" s="122"/>
      <c r="E10" s="245"/>
      <c r="F10" s="28">
        <v>0</v>
      </c>
      <c r="G10" s="40"/>
      <c r="H10" s="28">
        <f t="shared" si="2"/>
        <v>0</v>
      </c>
      <c r="I10" s="28">
        <v>0</v>
      </c>
      <c r="J10" s="28">
        <f t="shared" si="3"/>
        <v>0</v>
      </c>
      <c r="K10" s="243"/>
      <c r="L10" s="45">
        <f t="shared" si="4"/>
        <v>0</v>
      </c>
      <c r="M10" s="40"/>
      <c r="N10" s="52">
        <v>8</v>
      </c>
      <c r="O10" s="95" t="s">
        <v>943</v>
      </c>
      <c r="P10" s="33" t="s">
        <v>84</v>
      </c>
      <c r="Q10" s="66">
        <v>7500</v>
      </c>
      <c r="R10" s="66">
        <f t="shared" si="1"/>
        <v>15000</v>
      </c>
      <c r="S10" s="66">
        <v>15000</v>
      </c>
      <c r="T10" s="86">
        <f t="shared" si="5"/>
        <v>0</v>
      </c>
      <c r="U10" s="1"/>
      <c r="V10" s="248" t="s">
        <v>3</v>
      </c>
      <c r="W10" s="239"/>
      <c r="X10" s="239"/>
      <c r="Y10" s="249">
        <f>SUM(Y4:Y9)</f>
        <v>53014</v>
      </c>
      <c r="Z10" s="17"/>
      <c r="AA10" s="17"/>
    </row>
    <row r="11" spans="1:28" ht="37.950000000000003" customHeight="1" thickBot="1">
      <c r="A11" s="197">
        <v>8</v>
      </c>
      <c r="B11" s="14" t="s">
        <v>913</v>
      </c>
      <c r="C11" s="244"/>
      <c r="D11" s="122"/>
      <c r="E11" s="245"/>
      <c r="F11" s="28">
        <v>900</v>
      </c>
      <c r="G11" s="40"/>
      <c r="H11" s="28">
        <f t="shared" si="2"/>
        <v>1800</v>
      </c>
      <c r="I11" s="28">
        <v>1800</v>
      </c>
      <c r="J11" s="28">
        <f t="shared" si="3"/>
        <v>0</v>
      </c>
      <c r="K11" s="243"/>
      <c r="L11" s="45">
        <f t="shared" si="4"/>
        <v>1800</v>
      </c>
      <c r="N11" s="52">
        <v>9</v>
      </c>
      <c r="O11" s="95" t="s">
        <v>944</v>
      </c>
      <c r="P11" s="33" t="s">
        <v>84</v>
      </c>
      <c r="Q11" s="33">
        <v>5000</v>
      </c>
      <c r="R11" s="66">
        <f t="shared" si="1"/>
        <v>10000</v>
      </c>
      <c r="S11" s="66">
        <v>10000</v>
      </c>
      <c r="T11" s="86">
        <f t="shared" si="5"/>
        <v>0</v>
      </c>
      <c r="U11" s="1"/>
      <c r="V11" s="29" t="s">
        <v>55</v>
      </c>
      <c r="W11" s="30"/>
      <c r="X11" s="30"/>
      <c r="Y11" s="8"/>
      <c r="Z11" s="8"/>
      <c r="AA11" s="8"/>
    </row>
    <row r="12" spans="1:28" ht="35.4" customHeight="1">
      <c r="A12" s="197">
        <v>9</v>
      </c>
      <c r="B12" s="14" t="s">
        <v>842</v>
      </c>
      <c r="C12" s="244"/>
      <c r="D12" s="122"/>
      <c r="E12" s="245"/>
      <c r="F12" s="28">
        <v>1750</v>
      </c>
      <c r="G12" s="40"/>
      <c r="H12" s="28">
        <f t="shared" si="2"/>
        <v>3500</v>
      </c>
      <c r="I12" s="28">
        <v>3500</v>
      </c>
      <c r="J12" s="28">
        <f t="shared" si="3"/>
        <v>0</v>
      </c>
      <c r="K12" s="243"/>
      <c r="L12" s="45">
        <f t="shared" si="4"/>
        <v>3500</v>
      </c>
      <c r="M12" s="40"/>
      <c r="N12" s="52"/>
      <c r="O12" s="95" t="s">
        <v>957</v>
      </c>
      <c r="P12" s="33" t="s">
        <v>84</v>
      </c>
      <c r="Q12" s="66">
        <v>7000</v>
      </c>
      <c r="R12" s="66">
        <f t="shared" si="1"/>
        <v>14000</v>
      </c>
      <c r="S12" s="66">
        <v>14000</v>
      </c>
      <c r="T12" s="86">
        <f t="shared" si="5"/>
        <v>0</v>
      </c>
      <c r="U12" s="1"/>
      <c r="V12" s="49" t="s">
        <v>11</v>
      </c>
      <c r="W12" s="50" t="s">
        <v>88</v>
      </c>
      <c r="X12" s="50" t="s">
        <v>89</v>
      </c>
      <c r="Y12" s="50" t="s">
        <v>90</v>
      </c>
      <c r="Z12" s="58" t="s">
        <v>91</v>
      </c>
      <c r="AA12" s="59" t="s">
        <v>87</v>
      </c>
    </row>
    <row r="13" spans="1:28" ht="35.4" customHeight="1">
      <c r="A13" s="197">
        <v>10</v>
      </c>
      <c r="B13" s="250" t="s">
        <v>914</v>
      </c>
      <c r="C13" s="244"/>
      <c r="D13" s="122"/>
      <c r="E13" s="245"/>
      <c r="F13" s="28">
        <v>1750</v>
      </c>
      <c r="G13" s="40"/>
      <c r="H13" s="28">
        <f t="shared" si="2"/>
        <v>3500</v>
      </c>
      <c r="I13" s="28">
        <v>3500</v>
      </c>
      <c r="J13" s="28">
        <f t="shared" si="3"/>
        <v>0</v>
      </c>
      <c r="K13" s="243"/>
      <c r="L13" s="45">
        <f t="shared" si="4"/>
        <v>3500</v>
      </c>
      <c r="M13" s="40"/>
      <c r="N13" s="52">
        <v>10</v>
      </c>
      <c r="O13" s="5" t="s">
        <v>427</v>
      </c>
      <c r="P13" s="33" t="s">
        <v>234</v>
      </c>
      <c r="Q13" s="66">
        <v>7500</v>
      </c>
      <c r="R13" s="66">
        <f t="shared" si="1"/>
        <v>15000</v>
      </c>
      <c r="S13" s="66">
        <v>15000</v>
      </c>
      <c r="T13" s="86">
        <f t="shared" si="5"/>
        <v>0</v>
      </c>
      <c r="U13" s="1"/>
      <c r="V13" s="52">
        <v>1</v>
      </c>
      <c r="W13" s="12">
        <v>45805</v>
      </c>
      <c r="X13" s="15" t="s">
        <v>959</v>
      </c>
      <c r="Y13" s="16">
        <v>100</v>
      </c>
      <c r="Z13" s="251" t="s">
        <v>958</v>
      </c>
      <c r="AA13" s="252" t="s">
        <v>818</v>
      </c>
      <c r="AB13" s="253"/>
    </row>
    <row r="14" spans="1:28" ht="27.6" customHeight="1">
      <c r="A14" s="197">
        <v>11</v>
      </c>
      <c r="B14" s="14" t="s">
        <v>843</v>
      </c>
      <c r="C14" s="244"/>
      <c r="D14" s="122"/>
      <c r="E14" s="245"/>
      <c r="F14" s="28">
        <v>900</v>
      </c>
      <c r="G14" s="40"/>
      <c r="H14" s="28">
        <f t="shared" si="2"/>
        <v>1800</v>
      </c>
      <c r="I14" s="28">
        <v>1800</v>
      </c>
      <c r="J14" s="28">
        <f t="shared" si="3"/>
        <v>0</v>
      </c>
      <c r="K14" s="243"/>
      <c r="L14" s="45">
        <f t="shared" si="4"/>
        <v>1800</v>
      </c>
      <c r="M14" s="40"/>
      <c r="N14" s="52">
        <v>11</v>
      </c>
      <c r="O14" s="95" t="s">
        <v>415</v>
      </c>
      <c r="P14" s="93" t="s">
        <v>416</v>
      </c>
      <c r="Q14" s="33">
        <v>10000</v>
      </c>
      <c r="R14" s="66">
        <f t="shared" si="1"/>
        <v>20000</v>
      </c>
      <c r="S14" s="66">
        <v>20000</v>
      </c>
      <c r="T14" s="86">
        <f t="shared" si="0"/>
        <v>0</v>
      </c>
      <c r="U14" s="1"/>
      <c r="V14" s="52">
        <v>2</v>
      </c>
      <c r="W14" s="12"/>
      <c r="X14" s="15"/>
      <c r="Y14" s="16">
        <f>990+350+250+50+40+130+200+1130+800+110+300+150+200+130+180+120+350+180+200+130+300+100+60+200+100+0</f>
        <v>6750</v>
      </c>
      <c r="Z14" s="14"/>
      <c r="AA14" s="252"/>
      <c r="AB14" s="253"/>
    </row>
    <row r="15" spans="1:28" ht="27.6" customHeight="1">
      <c r="A15" s="197">
        <v>12</v>
      </c>
      <c r="B15" s="14" t="s">
        <v>844</v>
      </c>
      <c r="C15" s="244"/>
      <c r="D15" s="122"/>
      <c r="E15" s="245"/>
      <c r="F15" s="28">
        <v>900</v>
      </c>
      <c r="G15" s="40"/>
      <c r="H15" s="28">
        <f t="shared" si="2"/>
        <v>1800</v>
      </c>
      <c r="I15" s="28">
        <v>1800</v>
      </c>
      <c r="J15" s="28">
        <f t="shared" si="3"/>
        <v>0</v>
      </c>
      <c r="K15" s="243"/>
      <c r="L15" s="45">
        <f t="shared" si="4"/>
        <v>1800</v>
      </c>
      <c r="M15" s="40"/>
      <c r="N15" s="52">
        <v>12</v>
      </c>
      <c r="O15" s="5" t="s">
        <v>78</v>
      </c>
      <c r="P15" s="33" t="s">
        <v>85</v>
      </c>
      <c r="Q15" s="102">
        <v>8000</v>
      </c>
      <c r="R15" s="66">
        <f t="shared" si="1"/>
        <v>16000</v>
      </c>
      <c r="S15" s="66">
        <v>16000</v>
      </c>
      <c r="T15" s="86">
        <f t="shared" si="0"/>
        <v>0</v>
      </c>
      <c r="U15" s="1"/>
      <c r="V15" s="52">
        <v>3</v>
      </c>
      <c r="W15" s="12"/>
      <c r="X15" s="15" t="s">
        <v>963</v>
      </c>
      <c r="Y15" s="16">
        <f>210000*3</f>
        <v>630000</v>
      </c>
      <c r="Z15" s="14"/>
      <c r="AA15" s="252"/>
    </row>
    <row r="16" spans="1:28" ht="27.6" customHeight="1">
      <c r="A16" s="197">
        <v>13</v>
      </c>
      <c r="B16" s="14" t="s">
        <v>915</v>
      </c>
      <c r="C16" s="244"/>
      <c r="D16" s="122"/>
      <c r="E16" s="245"/>
      <c r="F16" s="28">
        <v>1750</v>
      </c>
      <c r="G16" s="40"/>
      <c r="H16" s="28">
        <f t="shared" si="2"/>
        <v>3500</v>
      </c>
      <c r="I16" s="28">
        <v>3500</v>
      </c>
      <c r="J16" s="28">
        <f t="shared" si="3"/>
        <v>0</v>
      </c>
      <c r="K16" s="243"/>
      <c r="L16" s="45">
        <f t="shared" si="4"/>
        <v>3500</v>
      </c>
      <c r="M16" s="40"/>
      <c r="N16" s="52">
        <v>13</v>
      </c>
      <c r="O16" s="5" t="s">
        <v>826</v>
      </c>
      <c r="P16" s="33" t="s">
        <v>827</v>
      </c>
      <c r="Q16" s="94">
        <v>6000</v>
      </c>
      <c r="R16" s="66">
        <f t="shared" si="1"/>
        <v>12000</v>
      </c>
      <c r="S16" s="66">
        <v>12000</v>
      </c>
      <c r="T16" s="86">
        <f t="shared" si="0"/>
        <v>0</v>
      </c>
      <c r="U16" s="1"/>
      <c r="V16" s="52">
        <v>4</v>
      </c>
      <c r="W16" s="12">
        <v>45856</v>
      </c>
      <c r="X16" s="15" t="s">
        <v>965</v>
      </c>
      <c r="Y16" s="16">
        <v>7000</v>
      </c>
      <c r="Z16" s="14" t="s">
        <v>964</v>
      </c>
      <c r="AA16" s="252" t="s">
        <v>818</v>
      </c>
    </row>
    <row r="17" spans="1:27" ht="27.6" customHeight="1" thickBot="1">
      <c r="A17" s="197">
        <v>14</v>
      </c>
      <c r="B17" s="14" t="s">
        <v>845</v>
      </c>
      <c r="C17" s="244"/>
      <c r="D17" s="122"/>
      <c r="E17" s="245"/>
      <c r="F17" s="28">
        <v>900</v>
      </c>
      <c r="G17" s="40"/>
      <c r="H17" s="28">
        <f t="shared" si="2"/>
        <v>1800</v>
      </c>
      <c r="I17" s="28">
        <v>1800</v>
      </c>
      <c r="J17" s="28">
        <f t="shared" si="3"/>
        <v>0</v>
      </c>
      <c r="K17" s="243"/>
      <c r="L17" s="45">
        <f t="shared" si="4"/>
        <v>1800</v>
      </c>
      <c r="M17" s="40"/>
      <c r="N17" s="473" t="s">
        <v>3</v>
      </c>
      <c r="O17" s="474"/>
      <c r="P17" s="475"/>
      <c r="Q17" s="254">
        <f>SUM(Q3:Q16)</f>
        <v>115500</v>
      </c>
      <c r="R17" s="254">
        <f>SUM(R3:R16)</f>
        <v>231000</v>
      </c>
      <c r="S17" s="254">
        <f>SUM(S3:S16)</f>
        <v>231000</v>
      </c>
      <c r="T17" s="255">
        <f>SUM(T3:T16)</f>
        <v>0</v>
      </c>
      <c r="U17" s="1"/>
      <c r="V17" s="52">
        <v>5</v>
      </c>
      <c r="W17" s="12">
        <v>45856</v>
      </c>
      <c r="X17" s="15" t="s">
        <v>965</v>
      </c>
      <c r="Y17" s="16">
        <v>1750</v>
      </c>
      <c r="Z17" s="14" t="s">
        <v>966</v>
      </c>
      <c r="AA17" s="252" t="s">
        <v>818</v>
      </c>
    </row>
    <row r="18" spans="1:27" ht="34.799999999999997" customHeight="1">
      <c r="A18" s="197">
        <v>15</v>
      </c>
      <c r="B18" s="14" t="s">
        <v>916</v>
      </c>
      <c r="C18" s="244"/>
      <c r="D18" s="122"/>
      <c r="E18" s="245"/>
      <c r="F18" s="28">
        <v>1750</v>
      </c>
      <c r="G18" s="40"/>
      <c r="H18" s="28">
        <f t="shared" si="2"/>
        <v>3500</v>
      </c>
      <c r="I18" s="28">
        <v>3500</v>
      </c>
      <c r="J18" s="28">
        <f t="shared" si="3"/>
        <v>0</v>
      </c>
      <c r="K18" s="243"/>
      <c r="L18" s="45">
        <f t="shared" si="4"/>
        <v>3500</v>
      </c>
      <c r="M18" s="40"/>
      <c r="Q18" s="256"/>
      <c r="R18" s="256"/>
      <c r="U18" s="1"/>
      <c r="V18" s="52">
        <v>6</v>
      </c>
      <c r="W18" s="12">
        <v>45859</v>
      </c>
      <c r="X18" s="15" t="s">
        <v>965</v>
      </c>
      <c r="Y18" s="16">
        <v>1000</v>
      </c>
      <c r="Z18" s="14" t="s">
        <v>967</v>
      </c>
      <c r="AA18" s="60" t="s">
        <v>818</v>
      </c>
    </row>
    <row r="19" spans="1:27" ht="33" customHeight="1">
      <c r="A19" s="197">
        <v>16</v>
      </c>
      <c r="B19" s="14" t="s">
        <v>846</v>
      </c>
      <c r="C19" s="244"/>
      <c r="D19" s="122"/>
      <c r="E19" s="245"/>
      <c r="F19" s="28">
        <v>1750</v>
      </c>
      <c r="G19" s="40"/>
      <c r="H19" s="28">
        <f t="shared" si="2"/>
        <v>3500</v>
      </c>
      <c r="I19" s="28">
        <v>3500</v>
      </c>
      <c r="J19" s="28">
        <f t="shared" si="3"/>
        <v>0</v>
      </c>
      <c r="K19" s="243"/>
      <c r="L19" s="45">
        <f t="shared" si="4"/>
        <v>3500</v>
      </c>
      <c r="M19" s="40"/>
      <c r="S19" s="44"/>
      <c r="T19" s="44"/>
      <c r="U19" s="1"/>
      <c r="V19" s="52">
        <v>7</v>
      </c>
      <c r="W19" s="12"/>
      <c r="X19" s="15"/>
      <c r="Y19" s="76"/>
      <c r="Z19" s="77"/>
      <c r="AA19" s="60"/>
    </row>
    <row r="20" spans="1:27" ht="27.6" customHeight="1">
      <c r="A20" s="197">
        <v>17</v>
      </c>
      <c r="B20" s="14" t="s">
        <v>917</v>
      </c>
      <c r="C20" s="244"/>
      <c r="D20" s="122"/>
      <c r="E20" s="245"/>
      <c r="F20" s="28">
        <v>1750</v>
      </c>
      <c r="G20" s="40"/>
      <c r="H20" s="28">
        <f t="shared" si="2"/>
        <v>3500</v>
      </c>
      <c r="I20" s="28">
        <v>3500</v>
      </c>
      <c r="J20" s="28">
        <f t="shared" si="3"/>
        <v>0</v>
      </c>
      <c r="K20" s="243"/>
      <c r="L20" s="45">
        <f t="shared" si="4"/>
        <v>3500</v>
      </c>
      <c r="M20" s="40"/>
      <c r="U20" s="1"/>
      <c r="V20" s="52">
        <v>8</v>
      </c>
      <c r="W20" s="12"/>
      <c r="X20" s="15"/>
      <c r="Y20" s="16"/>
      <c r="Z20" s="14"/>
      <c r="AA20" s="60"/>
    </row>
    <row r="21" spans="1:27" ht="37.200000000000003" customHeight="1">
      <c r="A21" s="197">
        <v>18</v>
      </c>
      <c r="B21" s="14" t="s">
        <v>308</v>
      </c>
      <c r="C21" s="244"/>
      <c r="D21" s="122"/>
      <c r="E21" s="245"/>
      <c r="F21" s="28">
        <v>1750</v>
      </c>
      <c r="G21" s="40"/>
      <c r="H21" s="28">
        <f t="shared" si="2"/>
        <v>3500</v>
      </c>
      <c r="I21" s="28">
        <v>3500</v>
      </c>
      <c r="J21" s="28">
        <f t="shared" si="3"/>
        <v>0</v>
      </c>
      <c r="K21" s="243"/>
      <c r="L21" s="45">
        <f t="shared" si="4"/>
        <v>3500</v>
      </c>
      <c r="M21" s="40"/>
      <c r="U21" s="1"/>
      <c r="V21" s="52">
        <v>9</v>
      </c>
      <c r="W21" s="12"/>
      <c r="X21" s="15"/>
      <c r="Y21" s="16"/>
      <c r="Z21" s="14"/>
      <c r="AA21" s="60"/>
    </row>
    <row r="22" spans="1:27" ht="36.6" customHeight="1">
      <c r="A22" s="197">
        <v>19</v>
      </c>
      <c r="B22" s="14" t="s">
        <v>918</v>
      </c>
      <c r="C22" s="244"/>
      <c r="D22" s="122"/>
      <c r="E22" s="245"/>
      <c r="F22" s="28">
        <v>900</v>
      </c>
      <c r="G22" s="40"/>
      <c r="H22" s="28">
        <f t="shared" si="2"/>
        <v>1800</v>
      </c>
      <c r="I22" s="28">
        <v>1800</v>
      </c>
      <c r="J22" s="28">
        <f t="shared" si="3"/>
        <v>0</v>
      </c>
      <c r="K22" s="243"/>
      <c r="L22" s="45">
        <f t="shared" si="4"/>
        <v>1800</v>
      </c>
      <c r="M22" s="40"/>
      <c r="U22" s="1"/>
      <c r="V22" s="52">
        <v>10</v>
      </c>
      <c r="W22" s="12"/>
      <c r="X22" s="15"/>
      <c r="Y22" s="16"/>
      <c r="Z22" s="14"/>
      <c r="AA22" s="60"/>
    </row>
    <row r="23" spans="1:27" ht="27" customHeight="1">
      <c r="A23" s="197">
        <v>20</v>
      </c>
      <c r="B23" s="250" t="s">
        <v>847</v>
      </c>
      <c r="C23" s="244"/>
      <c r="D23" s="122"/>
      <c r="E23" s="122"/>
      <c r="F23" s="28">
        <v>1750</v>
      </c>
      <c r="G23" s="40"/>
      <c r="H23" s="28">
        <f t="shared" si="2"/>
        <v>3500</v>
      </c>
      <c r="I23" s="28">
        <v>3500</v>
      </c>
      <c r="J23" s="28">
        <f t="shared" si="3"/>
        <v>0</v>
      </c>
      <c r="K23" s="243"/>
      <c r="L23" s="45">
        <f t="shared" si="4"/>
        <v>3500</v>
      </c>
      <c r="M23" s="40"/>
      <c r="U23" s="1"/>
      <c r="V23" s="52">
        <v>11</v>
      </c>
      <c r="W23" s="12"/>
      <c r="X23" s="15"/>
      <c r="Y23" s="16"/>
      <c r="Z23" s="14"/>
      <c r="AA23" s="60"/>
    </row>
    <row r="24" spans="1:27" ht="27.6" customHeight="1">
      <c r="A24" s="197">
        <v>21</v>
      </c>
      <c r="B24" s="14" t="s">
        <v>919</v>
      </c>
      <c r="C24" s="244"/>
      <c r="D24" s="122"/>
      <c r="E24" s="122"/>
      <c r="F24" s="28">
        <v>1750</v>
      </c>
      <c r="G24" s="40"/>
      <c r="H24" s="28">
        <f t="shared" si="2"/>
        <v>3500</v>
      </c>
      <c r="I24" s="28">
        <v>3500</v>
      </c>
      <c r="J24" s="28">
        <f t="shared" si="3"/>
        <v>0</v>
      </c>
      <c r="K24" s="243"/>
      <c r="L24" s="45">
        <f t="shared" si="4"/>
        <v>3500</v>
      </c>
      <c r="M24" s="40"/>
      <c r="U24" s="1"/>
      <c r="V24" s="52">
        <v>12</v>
      </c>
      <c r="W24" s="12"/>
      <c r="X24" s="15"/>
      <c r="Y24" s="16"/>
      <c r="Z24" s="14"/>
      <c r="AA24" s="60"/>
    </row>
    <row r="25" spans="1:27" ht="27.6" customHeight="1">
      <c r="A25" s="197">
        <v>22</v>
      </c>
      <c r="B25" s="14" t="s">
        <v>920</v>
      </c>
      <c r="C25" s="244"/>
      <c r="D25" s="122"/>
      <c r="E25" s="122"/>
      <c r="F25" s="28">
        <v>1750</v>
      </c>
      <c r="G25" s="40"/>
      <c r="H25" s="28">
        <f t="shared" si="2"/>
        <v>3500</v>
      </c>
      <c r="I25" s="28">
        <v>3500</v>
      </c>
      <c r="J25" s="28">
        <f t="shared" si="3"/>
        <v>0</v>
      </c>
      <c r="K25" s="243"/>
      <c r="L25" s="45">
        <f t="shared" si="4"/>
        <v>3500</v>
      </c>
      <c r="M25" s="40"/>
      <c r="U25" s="1"/>
      <c r="V25" s="52"/>
      <c r="W25" s="12"/>
      <c r="X25" s="15"/>
      <c r="Y25" s="133"/>
      <c r="Z25" s="14"/>
      <c r="AA25" s="60"/>
    </row>
    <row r="26" spans="1:27" ht="27.6" customHeight="1">
      <c r="A26" s="197">
        <v>23</v>
      </c>
      <c r="B26" s="14" t="s">
        <v>865</v>
      </c>
      <c r="C26" s="244"/>
      <c r="D26" s="122"/>
      <c r="E26" s="122"/>
      <c r="F26" s="28">
        <v>0</v>
      </c>
      <c r="G26" s="40"/>
      <c r="H26" s="28">
        <f t="shared" si="2"/>
        <v>0</v>
      </c>
      <c r="I26" s="28">
        <v>0</v>
      </c>
      <c r="J26" s="28">
        <f t="shared" si="3"/>
        <v>0</v>
      </c>
      <c r="K26" s="243"/>
      <c r="L26" s="45">
        <f t="shared" si="4"/>
        <v>0</v>
      </c>
      <c r="M26" s="40"/>
      <c r="R26" s="257"/>
      <c r="U26" s="1"/>
      <c r="V26" s="52"/>
      <c r="W26" s="12"/>
      <c r="X26" s="15"/>
      <c r="Y26" s="133"/>
      <c r="Z26" s="258"/>
      <c r="AA26" s="60"/>
    </row>
    <row r="27" spans="1:27" ht="36" customHeight="1">
      <c r="A27" s="197">
        <v>24</v>
      </c>
      <c r="B27" s="14" t="s">
        <v>921</v>
      </c>
      <c r="C27" s="244"/>
      <c r="D27" s="122"/>
      <c r="E27" s="122"/>
      <c r="F27" s="28">
        <v>0</v>
      </c>
      <c r="G27" s="40"/>
      <c r="H27" s="28">
        <f t="shared" si="2"/>
        <v>0</v>
      </c>
      <c r="I27" s="28">
        <v>0</v>
      </c>
      <c r="J27" s="28">
        <f t="shared" si="3"/>
        <v>0</v>
      </c>
      <c r="K27" s="243"/>
      <c r="L27" s="45">
        <f t="shared" si="4"/>
        <v>0</v>
      </c>
      <c r="M27" s="40"/>
      <c r="R27" s="257"/>
      <c r="U27" s="1"/>
      <c r="V27" s="52"/>
      <c r="W27" s="12"/>
      <c r="X27" s="15"/>
      <c r="Y27" s="76"/>
      <c r="Z27" s="77"/>
      <c r="AA27" s="60"/>
    </row>
    <row r="28" spans="1:27" ht="33" customHeight="1">
      <c r="A28" s="197">
        <v>25</v>
      </c>
      <c r="B28" s="14" t="s">
        <v>866</v>
      </c>
      <c r="C28" s="244"/>
      <c r="D28" s="122"/>
      <c r="E28" s="122"/>
      <c r="F28" s="28">
        <v>0</v>
      </c>
      <c r="G28" s="40"/>
      <c r="H28" s="28">
        <f t="shared" si="2"/>
        <v>0</v>
      </c>
      <c r="I28" s="28">
        <v>0</v>
      </c>
      <c r="J28" s="28">
        <f t="shared" si="3"/>
        <v>0</v>
      </c>
      <c r="K28" s="243"/>
      <c r="L28" s="45">
        <f t="shared" si="4"/>
        <v>0</v>
      </c>
      <c r="M28" s="40"/>
      <c r="R28" s="257"/>
      <c r="U28" s="1"/>
      <c r="V28" s="52">
        <v>17</v>
      </c>
      <c r="W28" s="12"/>
      <c r="X28" s="15"/>
      <c r="Y28" s="259"/>
      <c r="Z28" s="260"/>
      <c r="AA28" s="60"/>
    </row>
    <row r="29" spans="1:27" ht="33" customHeight="1">
      <c r="A29" s="197">
        <v>26</v>
      </c>
      <c r="B29" s="198" t="s">
        <v>867</v>
      </c>
      <c r="C29" s="122"/>
      <c r="D29" s="122"/>
      <c r="E29" s="122"/>
      <c r="F29" s="28">
        <v>900</v>
      </c>
      <c r="G29" s="40"/>
      <c r="H29" s="28">
        <f t="shared" si="2"/>
        <v>1800</v>
      </c>
      <c r="I29" s="28">
        <v>1800</v>
      </c>
      <c r="J29" s="28">
        <f t="shared" si="3"/>
        <v>0</v>
      </c>
      <c r="K29" s="243"/>
      <c r="L29" s="45">
        <f t="shared" si="4"/>
        <v>1800</v>
      </c>
      <c r="M29" s="40"/>
      <c r="R29" s="257"/>
      <c r="U29" s="1"/>
      <c r="V29" s="52">
        <v>18</v>
      </c>
      <c r="W29" s="12"/>
      <c r="X29" s="15"/>
      <c r="Y29" s="259"/>
      <c r="Z29" s="260"/>
      <c r="AA29" s="60"/>
    </row>
    <row r="30" spans="1:27" ht="33" customHeight="1">
      <c r="A30" s="197">
        <v>27</v>
      </c>
      <c r="B30" s="14" t="s">
        <v>882</v>
      </c>
      <c r="C30" s="122"/>
      <c r="D30" s="122"/>
      <c r="E30" s="122"/>
      <c r="F30" s="28">
        <v>1750</v>
      </c>
      <c r="G30" s="40"/>
      <c r="H30" s="28">
        <f t="shared" si="2"/>
        <v>3500</v>
      </c>
      <c r="I30" s="28">
        <v>3500</v>
      </c>
      <c r="J30" s="28">
        <f t="shared" si="3"/>
        <v>0</v>
      </c>
      <c r="K30" s="243"/>
      <c r="L30" s="45">
        <f t="shared" si="4"/>
        <v>3500</v>
      </c>
      <c r="M30" s="40"/>
      <c r="R30" s="257"/>
      <c r="U30" s="1"/>
      <c r="V30" s="52">
        <v>19</v>
      </c>
      <c r="W30" s="12"/>
      <c r="X30" s="15"/>
      <c r="Y30" s="259"/>
      <c r="Z30" s="260"/>
      <c r="AA30" s="60"/>
    </row>
    <row r="31" spans="1:27" ht="33" customHeight="1">
      <c r="A31" s="197">
        <v>28</v>
      </c>
      <c r="B31" s="14" t="s">
        <v>883</v>
      </c>
      <c r="C31" s="122"/>
      <c r="D31" s="122"/>
      <c r="E31" s="122"/>
      <c r="F31" s="28">
        <v>1750</v>
      </c>
      <c r="G31" s="40"/>
      <c r="H31" s="28">
        <f t="shared" si="2"/>
        <v>3500</v>
      </c>
      <c r="I31" s="28">
        <v>3500</v>
      </c>
      <c r="J31" s="28">
        <f t="shared" si="3"/>
        <v>0</v>
      </c>
      <c r="K31" s="243"/>
      <c r="L31" s="45">
        <f t="shared" si="4"/>
        <v>3500</v>
      </c>
      <c r="M31" s="40"/>
      <c r="U31" s="1"/>
      <c r="V31" s="52">
        <v>20</v>
      </c>
      <c r="W31" s="12"/>
      <c r="X31" s="15"/>
      <c r="Y31" s="259"/>
      <c r="Z31" s="149"/>
      <c r="AA31" s="60"/>
    </row>
    <row r="32" spans="1:27" ht="28.5" customHeight="1">
      <c r="A32" s="197">
        <v>29</v>
      </c>
      <c r="B32" s="17" t="s">
        <v>864</v>
      </c>
      <c r="C32" s="122"/>
      <c r="D32" s="122"/>
      <c r="E32" s="244"/>
      <c r="F32" s="28">
        <v>900</v>
      </c>
      <c r="G32" s="40"/>
      <c r="H32" s="28">
        <f t="shared" si="2"/>
        <v>1800</v>
      </c>
      <c r="I32" s="28">
        <v>1800</v>
      </c>
      <c r="J32" s="28">
        <f t="shared" si="3"/>
        <v>0</v>
      </c>
      <c r="K32" s="243"/>
      <c r="L32" s="45">
        <f t="shared" si="4"/>
        <v>1800</v>
      </c>
      <c r="M32" s="40"/>
      <c r="U32" s="1"/>
      <c r="V32" s="52">
        <v>21</v>
      </c>
      <c r="W32" s="12"/>
      <c r="X32" s="15"/>
      <c r="Y32" s="259"/>
      <c r="Z32" s="77"/>
      <c r="AA32" s="60"/>
    </row>
    <row r="33" spans="1:27" ht="28.5" customHeight="1">
      <c r="A33" s="197">
        <v>30</v>
      </c>
      <c r="B33" s="39" t="s">
        <v>884</v>
      </c>
      <c r="C33" s="122"/>
      <c r="D33" s="122"/>
      <c r="E33" s="244"/>
      <c r="F33" s="28">
        <v>900</v>
      </c>
      <c r="G33" s="261">
        <f>SUM(G4:G31)</f>
        <v>0</v>
      </c>
      <c r="H33" s="28">
        <f t="shared" si="2"/>
        <v>1800</v>
      </c>
      <c r="I33" s="28"/>
      <c r="J33" s="28">
        <f t="shared" si="3"/>
        <v>1800</v>
      </c>
      <c r="K33" s="243"/>
      <c r="L33" s="45">
        <f t="shared" si="4"/>
        <v>3600</v>
      </c>
      <c r="M33" s="40"/>
      <c r="U33" s="1"/>
      <c r="V33" s="52">
        <v>22</v>
      </c>
      <c r="W33" s="12"/>
      <c r="X33" s="15"/>
      <c r="Y33" s="259"/>
      <c r="Z33" s="149"/>
      <c r="AA33" s="60"/>
    </row>
    <row r="34" spans="1:27" ht="28.5" customHeight="1">
      <c r="A34" s="197">
        <v>31</v>
      </c>
      <c r="B34" s="39" t="s">
        <v>885</v>
      </c>
      <c r="C34" s="122"/>
      <c r="D34" s="122"/>
      <c r="E34" s="244"/>
      <c r="F34" s="28">
        <v>900</v>
      </c>
      <c r="G34" s="261"/>
      <c r="H34" s="28">
        <f t="shared" si="2"/>
        <v>1800</v>
      </c>
      <c r="I34" s="28">
        <v>1800</v>
      </c>
      <c r="J34" s="28">
        <f t="shared" si="3"/>
        <v>0</v>
      </c>
      <c r="K34" s="243"/>
      <c r="L34" s="45">
        <f t="shared" si="4"/>
        <v>1800</v>
      </c>
      <c r="M34" s="40"/>
      <c r="U34" s="1"/>
      <c r="V34" s="52">
        <v>23</v>
      </c>
      <c r="W34" s="12"/>
      <c r="X34" s="15"/>
      <c r="Y34" s="259"/>
      <c r="Z34" s="77"/>
      <c r="AA34" s="60"/>
    </row>
    <row r="35" spans="1:27" ht="33" customHeight="1">
      <c r="A35" s="197">
        <v>32</v>
      </c>
      <c r="B35" s="39" t="s">
        <v>947</v>
      </c>
      <c r="C35" s="122"/>
      <c r="D35" s="122"/>
      <c r="E35" s="244"/>
      <c r="F35" s="28">
        <v>1750</v>
      </c>
      <c r="G35" s="261"/>
      <c r="H35" s="28">
        <f t="shared" si="2"/>
        <v>3500</v>
      </c>
      <c r="I35" s="28">
        <v>3500</v>
      </c>
      <c r="J35" s="28">
        <f t="shared" si="3"/>
        <v>0</v>
      </c>
      <c r="K35" s="243"/>
      <c r="L35" s="45">
        <f t="shared" si="4"/>
        <v>3500</v>
      </c>
      <c r="M35" s="40"/>
      <c r="U35" s="1"/>
      <c r="V35" s="52">
        <v>21</v>
      </c>
      <c r="W35" s="12"/>
      <c r="X35" s="15"/>
      <c r="Y35" s="133"/>
      <c r="Z35" s="260"/>
      <c r="AA35" s="60"/>
    </row>
    <row r="36" spans="1:27" ht="33" customHeight="1">
      <c r="A36" s="484" t="s">
        <v>3</v>
      </c>
      <c r="B36" s="484"/>
      <c r="C36" s="484"/>
      <c r="D36" s="484"/>
      <c r="E36" s="262"/>
      <c r="F36" s="57">
        <f>SUM(F4:F35)</f>
        <v>37900</v>
      </c>
      <c r="G36" s="263"/>
      <c r="H36" s="57">
        <f>SUM(H4:H35)</f>
        <v>75800</v>
      </c>
      <c r="I36" s="57">
        <f>SUM(I4:I35)</f>
        <v>68800</v>
      </c>
      <c r="J36" s="57">
        <f>SUM(J4:J35)</f>
        <v>7000</v>
      </c>
      <c r="K36" s="32"/>
      <c r="L36" s="200"/>
      <c r="M36" s="40"/>
      <c r="U36" s="1"/>
      <c r="V36" s="52">
        <v>22</v>
      </c>
      <c r="W36" s="12"/>
      <c r="X36" s="15"/>
      <c r="Y36" s="259"/>
      <c r="Z36" s="264"/>
      <c r="AA36" s="60"/>
    </row>
    <row r="37" spans="1:27" ht="25.2" customHeight="1">
      <c r="A37" s="483" t="s">
        <v>475</v>
      </c>
      <c r="B37" s="483"/>
      <c r="C37" s="483"/>
      <c r="D37" s="483"/>
      <c r="E37" s="483"/>
      <c r="F37" s="483"/>
      <c r="G37" s="483"/>
      <c r="H37" s="483"/>
      <c r="I37" s="483"/>
      <c r="J37" s="483"/>
      <c r="K37" s="45"/>
      <c r="L37" s="200"/>
      <c r="M37" s="40"/>
      <c r="U37" s="1"/>
      <c r="V37" s="52">
        <v>23</v>
      </c>
      <c r="W37" s="12"/>
      <c r="X37" s="15"/>
      <c r="Y37" s="133"/>
      <c r="Z37" s="17"/>
      <c r="AA37" s="60"/>
    </row>
    <row r="38" spans="1:27" ht="25.2" customHeight="1">
      <c r="A38" s="106" t="s">
        <v>4</v>
      </c>
      <c r="B38" s="241" t="s">
        <v>6</v>
      </c>
      <c r="C38" s="241" t="s">
        <v>430</v>
      </c>
      <c r="D38" s="242" t="s">
        <v>431</v>
      </c>
      <c r="E38" s="242" t="s">
        <v>434</v>
      </c>
      <c r="F38" s="242" t="s">
        <v>439</v>
      </c>
      <c r="G38" s="40"/>
      <c r="H38" s="96" t="s">
        <v>190</v>
      </c>
      <c r="I38" s="96" t="s">
        <v>723</v>
      </c>
      <c r="J38" s="96" t="s">
        <v>58</v>
      </c>
      <c r="K38" s="243"/>
      <c r="L38" s="200"/>
      <c r="M38" s="40"/>
      <c r="U38" s="1"/>
      <c r="V38" s="52">
        <v>24</v>
      </c>
      <c r="W38" s="265"/>
      <c r="X38" s="15"/>
      <c r="Y38" s="13"/>
      <c r="Z38" s="149"/>
      <c r="AA38" s="191"/>
    </row>
    <row r="39" spans="1:27" ht="35.4" customHeight="1">
      <c r="A39" s="28">
        <v>1</v>
      </c>
      <c r="B39" s="5" t="s">
        <v>636</v>
      </c>
      <c r="C39" s="96"/>
      <c r="D39" s="96"/>
      <c r="E39" s="96"/>
      <c r="F39" s="176">
        <v>900</v>
      </c>
      <c r="G39" s="80"/>
      <c r="H39" s="176">
        <f>+F39*2</f>
        <v>1800</v>
      </c>
      <c r="I39" s="57">
        <v>1800</v>
      </c>
      <c r="J39" s="28">
        <f t="shared" ref="J39:J69" si="6">+H39-I39</f>
        <v>0</v>
      </c>
      <c r="K39" s="32"/>
      <c r="L39" s="200">
        <f>+F39*2+J39</f>
        <v>1800</v>
      </c>
      <c r="M39" s="40"/>
      <c r="U39" s="1"/>
      <c r="V39" s="52">
        <v>25</v>
      </c>
      <c r="W39" s="12"/>
      <c r="X39" s="15"/>
      <c r="Y39" s="259"/>
      <c r="Z39" s="266"/>
      <c r="AA39" s="60"/>
    </row>
    <row r="40" spans="1:27" ht="24.6" customHeight="1">
      <c r="A40" s="28">
        <v>2</v>
      </c>
      <c r="B40" s="5" t="s">
        <v>637</v>
      </c>
      <c r="C40" s="96"/>
      <c r="D40" s="96"/>
      <c r="E40" s="96"/>
      <c r="F40" s="176">
        <v>900</v>
      </c>
      <c r="G40" s="80"/>
      <c r="H40" s="176">
        <f t="shared" ref="H40:H69" si="7">+F40*2</f>
        <v>1800</v>
      </c>
      <c r="I40" s="57">
        <v>1800</v>
      </c>
      <c r="J40" s="28">
        <f t="shared" si="6"/>
        <v>0</v>
      </c>
      <c r="K40" s="32"/>
      <c r="L40" s="200">
        <f t="shared" ref="L40:L69" si="8">+F40*2+J40</f>
        <v>1800</v>
      </c>
      <c r="M40" s="40"/>
      <c r="U40" s="1"/>
      <c r="V40" s="52">
        <v>26</v>
      </c>
      <c r="W40" s="12"/>
      <c r="X40" s="15"/>
      <c r="Y40" s="259"/>
      <c r="Z40" s="264"/>
      <c r="AA40" s="60"/>
    </row>
    <row r="41" spans="1:27" ht="24.6" customHeight="1">
      <c r="A41" s="28">
        <v>3</v>
      </c>
      <c r="B41" s="5" t="s">
        <v>638</v>
      </c>
      <c r="C41" s="96"/>
      <c r="D41" s="96"/>
      <c r="E41" s="96"/>
      <c r="F41" s="176">
        <v>1750</v>
      </c>
      <c r="G41" s="80"/>
      <c r="H41" s="176">
        <f t="shared" si="7"/>
        <v>3500</v>
      </c>
      <c r="I41" s="57">
        <v>3500</v>
      </c>
      <c r="J41" s="28">
        <f t="shared" si="6"/>
        <v>0</v>
      </c>
      <c r="K41" s="32"/>
      <c r="L41" s="200">
        <f t="shared" si="8"/>
        <v>3500</v>
      </c>
      <c r="M41" s="40"/>
      <c r="U41" s="1"/>
      <c r="V41" s="52">
        <v>27</v>
      </c>
      <c r="W41" s="12"/>
      <c r="X41" s="15"/>
      <c r="Y41" s="259"/>
      <c r="Z41" s="260"/>
      <c r="AA41" s="60"/>
    </row>
    <row r="42" spans="1:27" ht="36" customHeight="1">
      <c r="A42" s="28">
        <v>4</v>
      </c>
      <c r="B42" s="5" t="s">
        <v>639</v>
      </c>
      <c r="C42" s="96"/>
      <c r="D42" s="96"/>
      <c r="E42" s="96"/>
      <c r="F42" s="176">
        <v>1750</v>
      </c>
      <c r="G42" s="80"/>
      <c r="H42" s="176">
        <f t="shared" si="7"/>
        <v>3500</v>
      </c>
      <c r="I42" s="57">
        <v>3500</v>
      </c>
      <c r="J42" s="28">
        <f t="shared" si="6"/>
        <v>0</v>
      </c>
      <c r="K42" s="32"/>
      <c r="L42" s="200">
        <f t="shared" si="8"/>
        <v>3500</v>
      </c>
      <c r="M42" s="40"/>
      <c r="U42" s="1"/>
      <c r="V42" s="52">
        <v>28</v>
      </c>
      <c r="W42" s="12"/>
      <c r="X42" s="15"/>
      <c r="Y42" s="259"/>
      <c r="Z42" s="259"/>
      <c r="AA42" s="267"/>
    </row>
    <row r="43" spans="1:27" ht="17.399999999999999">
      <c r="A43" s="28">
        <v>5</v>
      </c>
      <c r="B43" s="5" t="s">
        <v>640</v>
      </c>
      <c r="C43" s="96"/>
      <c r="D43" s="96"/>
      <c r="E43" s="96"/>
      <c r="F43" s="176">
        <v>900</v>
      </c>
      <c r="G43" s="80"/>
      <c r="H43" s="176">
        <f t="shared" si="7"/>
        <v>1800</v>
      </c>
      <c r="I43" s="57">
        <v>1800</v>
      </c>
      <c r="J43" s="28">
        <f t="shared" si="6"/>
        <v>0</v>
      </c>
      <c r="K43" s="32"/>
      <c r="L43" s="200">
        <f t="shared" si="8"/>
        <v>1800</v>
      </c>
      <c r="M43" s="40"/>
      <c r="U43" s="1"/>
      <c r="V43" s="52">
        <v>29</v>
      </c>
      <c r="W43" s="268"/>
      <c r="X43" s="15"/>
      <c r="Y43" s="259"/>
      <c r="Z43" s="260"/>
      <c r="AA43" s="267"/>
    </row>
    <row r="44" spans="1:27" ht="17.399999999999999">
      <c r="A44" s="28">
        <v>6</v>
      </c>
      <c r="B44" s="5" t="s">
        <v>806</v>
      </c>
      <c r="C44" s="96"/>
      <c r="D44" s="96"/>
      <c r="E44" s="96"/>
      <c r="F44" s="176">
        <v>1750</v>
      </c>
      <c r="G44" s="80"/>
      <c r="H44" s="176">
        <f t="shared" si="7"/>
        <v>3500</v>
      </c>
      <c r="I44" s="57">
        <v>3500</v>
      </c>
      <c r="J44" s="28">
        <f t="shared" si="6"/>
        <v>0</v>
      </c>
      <c r="K44" s="32"/>
      <c r="L44" s="200">
        <f t="shared" si="8"/>
        <v>3500</v>
      </c>
      <c r="M44" s="40"/>
      <c r="U44" s="1"/>
      <c r="V44" s="52">
        <v>30</v>
      </c>
      <c r="W44" s="268"/>
      <c r="X44" s="15"/>
      <c r="Y44" s="259"/>
      <c r="Z44" s="264"/>
      <c r="AA44" s="267"/>
    </row>
    <row r="45" spans="1:27" ht="17.399999999999999">
      <c r="A45" s="28">
        <v>7</v>
      </c>
      <c r="B45" s="5" t="s">
        <v>641</v>
      </c>
      <c r="C45" s="96"/>
      <c r="D45" s="96"/>
      <c r="E45" s="96"/>
      <c r="F45" s="176">
        <v>900</v>
      </c>
      <c r="G45" s="80"/>
      <c r="H45" s="176">
        <f t="shared" si="7"/>
        <v>1800</v>
      </c>
      <c r="I45" s="57">
        <v>1800</v>
      </c>
      <c r="J45" s="28">
        <f t="shared" si="6"/>
        <v>0</v>
      </c>
      <c r="K45" s="32"/>
      <c r="L45" s="200">
        <f t="shared" si="8"/>
        <v>1800</v>
      </c>
      <c r="M45" s="40"/>
      <c r="U45" s="1"/>
      <c r="V45" s="52">
        <v>31</v>
      </c>
      <c r="W45" s="268"/>
      <c r="X45" s="15"/>
      <c r="Y45" s="259"/>
      <c r="Z45" s="260"/>
      <c r="AA45" s="267"/>
    </row>
    <row r="46" spans="1:27" ht="17.399999999999999">
      <c r="A46" s="28">
        <v>8</v>
      </c>
      <c r="B46" s="5" t="s">
        <v>642</v>
      </c>
      <c r="C46" s="96"/>
      <c r="D46" s="96"/>
      <c r="E46" s="96"/>
      <c r="F46" s="176">
        <v>1750</v>
      </c>
      <c r="G46" s="80"/>
      <c r="H46" s="176">
        <f t="shared" si="7"/>
        <v>3500</v>
      </c>
      <c r="I46" s="57">
        <v>3500</v>
      </c>
      <c r="J46" s="28">
        <f t="shared" si="6"/>
        <v>0</v>
      </c>
      <c r="K46" s="32"/>
      <c r="L46" s="200">
        <f t="shared" si="8"/>
        <v>3500</v>
      </c>
      <c r="M46" s="40"/>
      <c r="U46" s="1"/>
      <c r="V46" s="52">
        <v>32</v>
      </c>
      <c r="W46" s="268"/>
      <c r="X46" s="15"/>
      <c r="Y46" s="259"/>
      <c r="Z46" s="264"/>
      <c r="AA46" s="267"/>
    </row>
    <row r="47" spans="1:27" ht="24.6" customHeight="1">
      <c r="A47" s="28">
        <v>9</v>
      </c>
      <c r="B47" s="5" t="s">
        <v>643</v>
      </c>
      <c r="C47" s="96"/>
      <c r="D47" s="96"/>
      <c r="E47" s="96"/>
      <c r="F47" s="176">
        <v>900</v>
      </c>
      <c r="G47" s="80"/>
      <c r="H47" s="176">
        <f t="shared" si="7"/>
        <v>1800</v>
      </c>
      <c r="I47" s="57">
        <v>1800</v>
      </c>
      <c r="J47" s="28">
        <f t="shared" si="6"/>
        <v>0</v>
      </c>
      <c r="K47" s="32"/>
      <c r="L47" s="200">
        <f t="shared" si="8"/>
        <v>1800</v>
      </c>
      <c r="M47" s="40"/>
      <c r="U47" s="1"/>
      <c r="V47" s="52">
        <v>33</v>
      </c>
      <c r="W47" s="268"/>
      <c r="X47" s="269"/>
      <c r="Y47" s="259"/>
      <c r="Z47" s="260"/>
      <c r="AA47" s="267"/>
    </row>
    <row r="48" spans="1:27" ht="24.6" customHeight="1">
      <c r="A48" s="28">
        <v>10</v>
      </c>
      <c r="B48" s="5" t="s">
        <v>644</v>
      </c>
      <c r="C48" s="96"/>
      <c r="D48" s="96"/>
      <c r="E48" s="96"/>
      <c r="F48" s="176">
        <v>1750</v>
      </c>
      <c r="G48" s="80"/>
      <c r="H48" s="176">
        <f t="shared" si="7"/>
        <v>3500</v>
      </c>
      <c r="I48" s="57">
        <v>3500</v>
      </c>
      <c r="J48" s="28">
        <f t="shared" si="6"/>
        <v>0</v>
      </c>
      <c r="K48" s="32"/>
      <c r="L48" s="200">
        <f t="shared" si="8"/>
        <v>3500</v>
      </c>
      <c r="M48" s="40"/>
      <c r="U48" s="1"/>
      <c r="V48" s="52">
        <v>34</v>
      </c>
      <c r="W48" s="268"/>
      <c r="X48" s="269"/>
      <c r="Y48" s="259"/>
      <c r="Z48" s="264"/>
      <c r="AA48" s="267"/>
    </row>
    <row r="49" spans="1:27" ht="27.6" customHeight="1">
      <c r="A49" s="28">
        <v>11</v>
      </c>
      <c r="B49" s="5" t="s">
        <v>645</v>
      </c>
      <c r="C49" s="96"/>
      <c r="D49" s="96"/>
      <c r="E49" s="96"/>
      <c r="F49" s="176">
        <v>1750</v>
      </c>
      <c r="G49" s="80"/>
      <c r="H49" s="176">
        <f t="shared" si="7"/>
        <v>3500</v>
      </c>
      <c r="I49" s="57">
        <v>3500</v>
      </c>
      <c r="J49" s="28">
        <f t="shared" si="6"/>
        <v>0</v>
      </c>
      <c r="K49" s="32"/>
      <c r="L49" s="200">
        <f t="shared" si="8"/>
        <v>3500</v>
      </c>
      <c r="M49" s="1"/>
      <c r="U49" s="1"/>
      <c r="V49" s="52">
        <v>35</v>
      </c>
      <c r="W49" s="268"/>
      <c r="X49" s="269"/>
      <c r="Y49" s="259"/>
      <c r="Z49" s="270"/>
      <c r="AA49" s="267"/>
    </row>
    <row r="50" spans="1:27" ht="20.399999999999999" customHeight="1">
      <c r="A50" s="28">
        <v>12</v>
      </c>
      <c r="B50" s="5" t="s">
        <v>646</v>
      </c>
      <c r="C50" s="96"/>
      <c r="D50" s="96"/>
      <c r="E50" s="96"/>
      <c r="F50" s="176">
        <v>1750</v>
      </c>
      <c r="G50" s="80"/>
      <c r="H50" s="176">
        <f t="shared" si="7"/>
        <v>3500</v>
      </c>
      <c r="I50" s="57">
        <v>3500</v>
      </c>
      <c r="J50" s="28">
        <f t="shared" si="6"/>
        <v>0</v>
      </c>
      <c r="K50" s="32"/>
      <c r="L50" s="200">
        <f t="shared" si="8"/>
        <v>3500</v>
      </c>
      <c r="M50" s="45"/>
      <c r="U50" s="1"/>
      <c r="V50" s="52">
        <v>36</v>
      </c>
      <c r="W50" s="268"/>
      <c r="X50" s="269"/>
      <c r="Y50" s="259"/>
      <c r="Z50" s="264"/>
      <c r="AA50" s="267"/>
    </row>
    <row r="51" spans="1:27" ht="29.4" customHeight="1">
      <c r="A51" s="28">
        <v>13</v>
      </c>
      <c r="B51" s="5" t="s">
        <v>647</v>
      </c>
      <c r="C51" s="96"/>
      <c r="D51" s="96"/>
      <c r="E51" s="96"/>
      <c r="F51" s="176">
        <v>1750</v>
      </c>
      <c r="G51" s="80"/>
      <c r="H51" s="176">
        <f t="shared" si="7"/>
        <v>3500</v>
      </c>
      <c r="I51" s="57">
        <v>3500</v>
      </c>
      <c r="J51" s="28">
        <f t="shared" si="6"/>
        <v>0</v>
      </c>
      <c r="K51" s="32"/>
      <c r="L51" s="200">
        <f t="shared" si="8"/>
        <v>3500</v>
      </c>
      <c r="M51" s="1"/>
      <c r="U51" s="1"/>
      <c r="V51" s="52">
        <v>37</v>
      </c>
      <c r="W51" s="268"/>
      <c r="X51" s="269"/>
      <c r="Y51" s="259"/>
      <c r="Z51" s="264"/>
      <c r="AA51" s="267"/>
    </row>
    <row r="52" spans="1:27" ht="22.2" customHeight="1">
      <c r="A52" s="28">
        <v>14</v>
      </c>
      <c r="B52" s="5" t="s">
        <v>648</v>
      </c>
      <c r="C52" s="96"/>
      <c r="D52" s="96"/>
      <c r="E52" s="96"/>
      <c r="F52" s="176">
        <v>1750</v>
      </c>
      <c r="G52" s="80"/>
      <c r="H52" s="176">
        <f t="shared" si="7"/>
        <v>3500</v>
      </c>
      <c r="I52" s="57">
        <v>3500</v>
      </c>
      <c r="J52" s="28">
        <f t="shared" si="6"/>
        <v>0</v>
      </c>
      <c r="K52" s="32"/>
      <c r="L52" s="200">
        <f t="shared" si="8"/>
        <v>3500</v>
      </c>
      <c r="M52" s="1"/>
      <c r="U52" s="1"/>
      <c r="V52" s="52">
        <v>38</v>
      </c>
      <c r="W52" s="268"/>
      <c r="X52" s="269"/>
      <c r="Y52" s="259"/>
      <c r="Z52" s="264"/>
      <c r="AA52" s="267"/>
    </row>
    <row r="53" spans="1:27" ht="27.6" customHeight="1">
      <c r="A53" s="28">
        <v>15</v>
      </c>
      <c r="B53" s="5" t="s">
        <v>649</v>
      </c>
      <c r="C53" s="96"/>
      <c r="D53" s="96"/>
      <c r="E53" s="96"/>
      <c r="F53" s="176">
        <v>900</v>
      </c>
      <c r="G53" s="80"/>
      <c r="H53" s="176">
        <f t="shared" si="7"/>
        <v>1800</v>
      </c>
      <c r="I53" s="57">
        <v>1800</v>
      </c>
      <c r="J53" s="28">
        <f t="shared" si="6"/>
        <v>0</v>
      </c>
      <c r="K53" s="32"/>
      <c r="L53" s="200">
        <f t="shared" si="8"/>
        <v>1800</v>
      </c>
      <c r="M53" s="271"/>
      <c r="U53" s="1"/>
      <c r="V53" s="52">
        <v>39</v>
      </c>
      <c r="W53" s="268"/>
      <c r="X53" s="269"/>
      <c r="Y53" s="259"/>
      <c r="Z53" s="264"/>
      <c r="AA53" s="267"/>
    </row>
    <row r="54" spans="1:27" ht="22.2" customHeight="1">
      <c r="A54" s="28">
        <v>16</v>
      </c>
      <c r="B54" s="5" t="s">
        <v>650</v>
      </c>
      <c r="C54" s="96"/>
      <c r="D54" s="96"/>
      <c r="E54" s="96"/>
      <c r="F54" s="176">
        <v>1750</v>
      </c>
      <c r="G54" s="80"/>
      <c r="H54" s="176">
        <f t="shared" si="7"/>
        <v>3500</v>
      </c>
      <c r="I54" s="57">
        <v>3500</v>
      </c>
      <c r="J54" s="28">
        <f t="shared" si="6"/>
        <v>0</v>
      </c>
      <c r="K54" s="32"/>
      <c r="L54" s="200">
        <f t="shared" si="8"/>
        <v>3500</v>
      </c>
      <c r="M54" s="271"/>
      <c r="U54" s="1"/>
      <c r="V54" s="52">
        <v>40</v>
      </c>
      <c r="W54" s="268"/>
      <c r="X54" s="269"/>
      <c r="Y54" s="259"/>
      <c r="Z54" s="264"/>
      <c r="AA54" s="267"/>
    </row>
    <row r="55" spans="1:27" ht="22.2" customHeight="1">
      <c r="A55" s="28">
        <v>17</v>
      </c>
      <c r="B55" s="5" t="s">
        <v>651</v>
      </c>
      <c r="C55" s="96"/>
      <c r="D55" s="96"/>
      <c r="E55" s="96"/>
      <c r="F55" s="176">
        <v>1750</v>
      </c>
      <c r="G55" s="80"/>
      <c r="H55" s="176">
        <f t="shared" si="7"/>
        <v>3500</v>
      </c>
      <c r="I55" s="57">
        <v>3500</v>
      </c>
      <c r="J55" s="28">
        <f t="shared" si="6"/>
        <v>0</v>
      </c>
      <c r="K55" s="32"/>
      <c r="L55" s="200">
        <f t="shared" si="8"/>
        <v>3500</v>
      </c>
      <c r="M55" s="271"/>
      <c r="U55" s="1"/>
      <c r="V55" s="52">
        <v>41</v>
      </c>
      <c r="W55" s="268"/>
      <c r="X55" s="269"/>
      <c r="Y55" s="259"/>
      <c r="Z55" s="264"/>
      <c r="AA55" s="267"/>
    </row>
    <row r="56" spans="1:27" ht="26.4" customHeight="1">
      <c r="A56" s="28">
        <v>18</v>
      </c>
      <c r="B56" s="5" t="s">
        <v>652</v>
      </c>
      <c r="C56" s="96"/>
      <c r="D56" s="96"/>
      <c r="E56" s="96"/>
      <c r="F56" s="176">
        <v>900</v>
      </c>
      <c r="G56" s="80"/>
      <c r="H56" s="176">
        <f t="shared" si="7"/>
        <v>1800</v>
      </c>
      <c r="I56" s="57">
        <v>1800</v>
      </c>
      <c r="J56" s="28">
        <f t="shared" si="6"/>
        <v>0</v>
      </c>
      <c r="K56" s="32"/>
      <c r="L56" s="200">
        <f t="shared" si="8"/>
        <v>1800</v>
      </c>
      <c r="M56" s="271"/>
      <c r="U56" s="1"/>
      <c r="V56" s="52">
        <v>42</v>
      </c>
      <c r="W56" s="268"/>
      <c r="X56" s="269"/>
      <c r="Y56" s="259"/>
      <c r="Z56" s="264"/>
      <c r="AA56" s="267"/>
    </row>
    <row r="57" spans="1:27" ht="30.6" customHeight="1">
      <c r="A57" s="28">
        <v>19</v>
      </c>
      <c r="B57" s="5" t="s">
        <v>653</v>
      </c>
      <c r="C57" s="96"/>
      <c r="D57" s="96"/>
      <c r="E57" s="96"/>
      <c r="F57" s="176">
        <v>1750</v>
      </c>
      <c r="G57" s="80"/>
      <c r="H57" s="176">
        <f t="shared" si="7"/>
        <v>3500</v>
      </c>
      <c r="I57" s="57">
        <v>3500</v>
      </c>
      <c r="J57" s="28">
        <f t="shared" si="6"/>
        <v>0</v>
      </c>
      <c r="K57" s="32"/>
      <c r="L57" s="200">
        <f t="shared" si="8"/>
        <v>3500</v>
      </c>
      <c r="M57" s="271"/>
      <c r="U57" s="1"/>
      <c r="V57" s="52">
        <v>43</v>
      </c>
      <c r="W57" s="268"/>
      <c r="X57" s="269"/>
      <c r="Y57" s="259"/>
      <c r="Z57" s="264"/>
      <c r="AA57" s="267"/>
    </row>
    <row r="58" spans="1:27" ht="22.2" customHeight="1">
      <c r="A58" s="28">
        <v>20</v>
      </c>
      <c r="B58" s="5" t="s">
        <v>877</v>
      </c>
      <c r="C58" s="96"/>
      <c r="D58" s="96"/>
      <c r="E58" s="96"/>
      <c r="F58" s="176">
        <v>900</v>
      </c>
      <c r="G58" s="80"/>
      <c r="H58" s="176">
        <f t="shared" si="7"/>
        <v>1800</v>
      </c>
      <c r="I58" s="57">
        <v>1800</v>
      </c>
      <c r="J58" s="28">
        <f t="shared" si="6"/>
        <v>0</v>
      </c>
      <c r="K58" s="32"/>
      <c r="L58" s="200">
        <f t="shared" si="8"/>
        <v>1800</v>
      </c>
      <c r="M58" s="271"/>
      <c r="U58" s="1"/>
      <c r="V58" s="52">
        <v>44</v>
      </c>
      <c r="W58" s="268"/>
      <c r="X58" s="269"/>
      <c r="Y58" s="259"/>
      <c r="Z58" s="264"/>
      <c r="AA58" s="267"/>
    </row>
    <row r="59" spans="1:27" ht="33.6" customHeight="1">
      <c r="A59" s="28">
        <v>21</v>
      </c>
      <c r="B59" s="5" t="s">
        <v>654</v>
      </c>
      <c r="C59" s="96"/>
      <c r="D59" s="96"/>
      <c r="E59" s="96"/>
      <c r="F59" s="176">
        <v>1750</v>
      </c>
      <c r="G59" s="80"/>
      <c r="H59" s="176">
        <f t="shared" si="7"/>
        <v>3500</v>
      </c>
      <c r="I59" s="57">
        <v>3500</v>
      </c>
      <c r="J59" s="28">
        <f t="shared" si="6"/>
        <v>0</v>
      </c>
      <c r="K59" s="32"/>
      <c r="L59" s="200">
        <f t="shared" si="8"/>
        <v>3500</v>
      </c>
      <c r="M59" s="271"/>
      <c r="U59" s="1"/>
      <c r="V59" s="52">
        <v>45</v>
      </c>
      <c r="W59" s="268"/>
      <c r="X59" s="269"/>
      <c r="Y59" s="259"/>
      <c r="Z59" s="264"/>
      <c r="AA59" s="267"/>
    </row>
    <row r="60" spans="1:27" ht="33.6" customHeight="1">
      <c r="A60" s="28">
        <v>22</v>
      </c>
      <c r="B60" s="5" t="s">
        <v>886</v>
      </c>
      <c r="C60" s="96"/>
      <c r="D60" s="96"/>
      <c r="E60" s="96"/>
      <c r="F60" s="176">
        <v>1750</v>
      </c>
      <c r="G60" s="80"/>
      <c r="H60" s="176">
        <f t="shared" si="7"/>
        <v>3500</v>
      </c>
      <c r="I60" s="57">
        <v>3500</v>
      </c>
      <c r="J60" s="28">
        <f t="shared" si="6"/>
        <v>0</v>
      </c>
      <c r="K60" s="32"/>
      <c r="L60" s="200">
        <f t="shared" si="8"/>
        <v>3500</v>
      </c>
      <c r="M60" s="271"/>
      <c r="O60" s="1"/>
      <c r="P60" s="1"/>
      <c r="Q60" s="1"/>
      <c r="R60" s="1"/>
      <c r="S60" s="1"/>
      <c r="T60" s="1"/>
      <c r="U60" s="1"/>
      <c r="V60" s="52">
        <v>46</v>
      </c>
      <c r="W60" s="268"/>
      <c r="X60" s="269"/>
      <c r="Y60" s="259"/>
      <c r="Z60" s="264"/>
      <c r="AA60" s="267"/>
    </row>
    <row r="61" spans="1:27" ht="24.6" customHeight="1">
      <c r="A61" s="28">
        <v>23</v>
      </c>
      <c r="B61" s="5" t="s">
        <v>315</v>
      </c>
      <c r="C61" s="96"/>
      <c r="D61" s="96"/>
      <c r="E61" s="96"/>
      <c r="F61" s="176">
        <v>900</v>
      </c>
      <c r="G61" s="80"/>
      <c r="H61" s="176">
        <f t="shared" si="7"/>
        <v>1800</v>
      </c>
      <c r="I61" s="57">
        <v>1800</v>
      </c>
      <c r="J61" s="28">
        <f t="shared" si="6"/>
        <v>0</v>
      </c>
      <c r="K61" s="32"/>
      <c r="L61" s="200">
        <f t="shared" si="8"/>
        <v>1800</v>
      </c>
      <c r="M61" s="271"/>
      <c r="N61" s="1"/>
      <c r="O61" s="1"/>
      <c r="P61" s="1"/>
      <c r="Q61" s="1"/>
      <c r="R61" s="1"/>
      <c r="S61" s="1"/>
      <c r="T61" s="1"/>
      <c r="U61" s="1"/>
      <c r="V61" s="52">
        <v>47</v>
      </c>
      <c r="W61" s="268"/>
      <c r="X61" s="269"/>
      <c r="Y61" s="259"/>
      <c r="Z61" s="264"/>
      <c r="AA61" s="267"/>
    </row>
    <row r="62" spans="1:27" ht="32.25" customHeight="1">
      <c r="A62" s="28">
        <v>24</v>
      </c>
      <c r="B62" s="5" t="s">
        <v>655</v>
      </c>
      <c r="C62" s="96"/>
      <c r="D62" s="96"/>
      <c r="E62" s="96"/>
      <c r="F62" s="176">
        <v>1750</v>
      </c>
      <c r="G62" s="80"/>
      <c r="H62" s="176">
        <f t="shared" si="7"/>
        <v>3500</v>
      </c>
      <c r="I62" s="57">
        <v>3500</v>
      </c>
      <c r="J62" s="28">
        <f t="shared" si="6"/>
        <v>0</v>
      </c>
      <c r="K62" s="32"/>
      <c r="L62" s="200">
        <f t="shared" si="8"/>
        <v>3500</v>
      </c>
      <c r="M62" s="271"/>
      <c r="N62" s="1"/>
      <c r="O62" s="1"/>
      <c r="P62" s="1"/>
      <c r="Q62" s="1"/>
      <c r="R62" s="1"/>
      <c r="S62" s="1"/>
      <c r="T62" s="1"/>
      <c r="U62" s="1"/>
      <c r="V62" s="52">
        <v>48</v>
      </c>
      <c r="W62" s="268"/>
      <c r="X62" s="269"/>
      <c r="Y62" s="259"/>
      <c r="Z62" s="264"/>
      <c r="AA62" s="267"/>
    </row>
    <row r="63" spans="1:27" ht="42" customHeight="1">
      <c r="A63" s="28">
        <v>25</v>
      </c>
      <c r="B63" s="5" t="s">
        <v>98</v>
      </c>
      <c r="C63" s="96"/>
      <c r="D63" s="96"/>
      <c r="E63" s="96"/>
      <c r="F63" s="176">
        <v>0</v>
      </c>
      <c r="G63" s="80"/>
      <c r="H63" s="176">
        <f t="shared" si="7"/>
        <v>0</v>
      </c>
      <c r="I63" s="57">
        <v>0</v>
      </c>
      <c r="J63" s="28">
        <f t="shared" si="6"/>
        <v>0</v>
      </c>
      <c r="K63" s="32"/>
      <c r="L63" s="200">
        <f t="shared" si="8"/>
        <v>0</v>
      </c>
      <c r="M63" s="271"/>
      <c r="N63" s="1"/>
      <c r="O63" s="1"/>
      <c r="P63" s="1"/>
      <c r="Q63" s="1"/>
      <c r="R63" s="1"/>
      <c r="S63" s="1"/>
      <c r="T63" s="1"/>
      <c r="U63" s="1"/>
      <c r="V63" s="52">
        <v>49</v>
      </c>
      <c r="W63" s="268"/>
      <c r="X63" s="269"/>
      <c r="Y63" s="259"/>
      <c r="Z63" s="264"/>
      <c r="AA63" s="267"/>
    </row>
    <row r="64" spans="1:27" ht="30" customHeight="1">
      <c r="A64" s="28">
        <v>26</v>
      </c>
      <c r="B64" s="5" t="s">
        <v>724</v>
      </c>
      <c r="C64" s="96"/>
      <c r="D64" s="96"/>
      <c r="E64" s="96"/>
      <c r="F64" s="176">
        <v>1750</v>
      </c>
      <c r="G64" s="80"/>
      <c r="H64" s="176">
        <f t="shared" si="7"/>
        <v>3500</v>
      </c>
      <c r="I64" s="57">
        <v>3500</v>
      </c>
      <c r="J64" s="28">
        <f t="shared" si="6"/>
        <v>0</v>
      </c>
      <c r="K64" s="32"/>
      <c r="L64" s="200">
        <f t="shared" si="8"/>
        <v>3500</v>
      </c>
      <c r="M64" s="271"/>
      <c r="N64" s="1"/>
      <c r="O64" s="1"/>
      <c r="P64" s="1"/>
      <c r="Q64" s="1"/>
      <c r="R64" s="1"/>
      <c r="S64" s="1"/>
      <c r="T64" s="1"/>
      <c r="U64" s="1"/>
      <c r="V64" s="52">
        <v>50</v>
      </c>
      <c r="W64" s="268"/>
      <c r="X64" s="269"/>
      <c r="Y64" s="259"/>
      <c r="Z64" s="264"/>
      <c r="AA64" s="267"/>
    </row>
    <row r="65" spans="1:28" ht="22.2" customHeight="1">
      <c r="A65" s="28">
        <v>27</v>
      </c>
      <c r="B65" s="5" t="s">
        <v>725</v>
      </c>
      <c r="C65" s="96"/>
      <c r="D65" s="96"/>
      <c r="E65" s="96"/>
      <c r="F65" s="176">
        <v>1750</v>
      </c>
      <c r="G65" s="80"/>
      <c r="H65" s="176">
        <f t="shared" si="7"/>
        <v>3500</v>
      </c>
      <c r="I65" s="57">
        <v>3500</v>
      </c>
      <c r="J65" s="28">
        <f t="shared" si="6"/>
        <v>0</v>
      </c>
      <c r="K65" s="32"/>
      <c r="L65" s="200">
        <f t="shared" si="8"/>
        <v>3500</v>
      </c>
      <c r="M65" s="271"/>
      <c r="N65" s="1"/>
      <c r="O65" s="1"/>
      <c r="P65" s="1"/>
      <c r="Q65" s="1"/>
      <c r="R65" s="1"/>
      <c r="S65" s="1"/>
      <c r="T65" s="1"/>
      <c r="U65" s="1"/>
      <c r="V65" s="52">
        <v>51</v>
      </c>
      <c r="W65" s="268"/>
      <c r="X65" s="269"/>
      <c r="Y65" s="259"/>
      <c r="Z65" s="260"/>
      <c r="AA65" s="267"/>
    </row>
    <row r="66" spans="1:28" ht="32.4" customHeight="1">
      <c r="A66" s="28">
        <v>28</v>
      </c>
      <c r="B66" s="5" t="s">
        <v>792</v>
      </c>
      <c r="C66" s="96"/>
      <c r="D66" s="96"/>
      <c r="E66" s="96"/>
      <c r="F66" s="176">
        <v>1750</v>
      </c>
      <c r="G66" s="80"/>
      <c r="H66" s="176">
        <f t="shared" si="7"/>
        <v>3500</v>
      </c>
      <c r="I66" s="57">
        <v>3500</v>
      </c>
      <c r="J66" s="28">
        <f t="shared" si="6"/>
        <v>0</v>
      </c>
      <c r="K66" s="32"/>
      <c r="L66" s="200">
        <f t="shared" si="8"/>
        <v>3500</v>
      </c>
      <c r="M66" s="271"/>
      <c r="N66" s="1"/>
      <c r="O66" s="1"/>
      <c r="P66" s="1"/>
      <c r="Q66" s="1"/>
      <c r="R66" s="1"/>
      <c r="S66" s="1"/>
      <c r="T66" s="1"/>
      <c r="U66" s="1"/>
      <c r="V66" s="52">
        <v>52</v>
      </c>
      <c r="W66" s="268"/>
      <c r="X66" s="269"/>
      <c r="Y66" s="133"/>
      <c r="Z66" s="270"/>
      <c r="AA66" s="267"/>
    </row>
    <row r="67" spans="1:28" ht="34.200000000000003" customHeight="1">
      <c r="A67" s="28">
        <v>29</v>
      </c>
      <c r="B67" s="5" t="s">
        <v>638</v>
      </c>
      <c r="C67" s="96"/>
      <c r="D67" s="96"/>
      <c r="E67" s="96"/>
      <c r="F67" s="176">
        <v>900</v>
      </c>
      <c r="G67" s="80"/>
      <c r="H67" s="176">
        <f t="shared" si="7"/>
        <v>1800</v>
      </c>
      <c r="I67" s="57">
        <v>1800</v>
      </c>
      <c r="J67" s="28">
        <f t="shared" si="6"/>
        <v>0</v>
      </c>
      <c r="K67" s="32"/>
      <c r="L67" s="200">
        <f t="shared" si="8"/>
        <v>1800</v>
      </c>
      <c r="M67" s="271"/>
      <c r="N67" s="1"/>
      <c r="O67" s="1"/>
      <c r="P67" s="1"/>
      <c r="Q67" s="1"/>
      <c r="R67" s="1"/>
      <c r="S67" s="1"/>
      <c r="T67" s="1"/>
      <c r="U67" s="1"/>
      <c r="V67" s="52">
        <v>53</v>
      </c>
      <c r="W67" s="268"/>
      <c r="X67" s="269"/>
      <c r="Z67" s="264"/>
      <c r="AA67" s="267"/>
    </row>
    <row r="68" spans="1:28" ht="22.2" customHeight="1">
      <c r="A68" s="28">
        <v>30</v>
      </c>
      <c r="B68" s="5" t="s">
        <v>823</v>
      </c>
      <c r="C68" s="96"/>
      <c r="D68" s="96"/>
      <c r="E68" s="96"/>
      <c r="F68" s="176">
        <v>900</v>
      </c>
      <c r="G68" s="80"/>
      <c r="H68" s="176">
        <f t="shared" si="7"/>
        <v>1800</v>
      </c>
      <c r="I68" s="57">
        <v>1800</v>
      </c>
      <c r="J68" s="28">
        <f t="shared" si="6"/>
        <v>0</v>
      </c>
      <c r="K68" s="32"/>
      <c r="L68" s="200">
        <f t="shared" si="8"/>
        <v>1800</v>
      </c>
      <c r="M68" s="271"/>
      <c r="N68" s="1"/>
      <c r="O68" s="1"/>
      <c r="P68" s="1"/>
      <c r="Q68" s="1"/>
      <c r="R68" s="1"/>
      <c r="S68" s="1"/>
      <c r="T68" s="1"/>
      <c r="U68" s="1"/>
      <c r="V68" s="52">
        <v>54</v>
      </c>
      <c r="W68" s="268"/>
      <c r="X68" s="269"/>
      <c r="Y68" s="259"/>
      <c r="Z68" s="264"/>
      <c r="AA68" s="272"/>
    </row>
    <row r="69" spans="1:28" ht="22.2" customHeight="1">
      <c r="A69" s="28">
        <v>31</v>
      </c>
      <c r="B69" s="5" t="s">
        <v>824</v>
      </c>
      <c r="C69" s="96"/>
      <c r="D69" s="96"/>
      <c r="E69" s="96"/>
      <c r="F69" s="176">
        <v>1750</v>
      </c>
      <c r="G69" s="80"/>
      <c r="H69" s="176">
        <f t="shared" si="7"/>
        <v>3500</v>
      </c>
      <c r="I69" s="57">
        <v>3500</v>
      </c>
      <c r="J69" s="28">
        <f t="shared" si="6"/>
        <v>0</v>
      </c>
      <c r="K69" s="32"/>
      <c r="L69" s="200">
        <f t="shared" si="8"/>
        <v>3500</v>
      </c>
      <c r="M69" s="271"/>
      <c r="N69" s="1"/>
      <c r="O69" s="1"/>
      <c r="P69" s="1"/>
      <c r="Q69" s="1"/>
      <c r="R69" s="1"/>
      <c r="S69" s="1"/>
      <c r="T69" s="1"/>
      <c r="U69" s="1"/>
      <c r="V69" s="52">
        <v>55</v>
      </c>
      <c r="W69" s="268"/>
      <c r="X69" s="269"/>
      <c r="Y69" s="259"/>
      <c r="Z69" s="264"/>
      <c r="AA69" s="267"/>
    </row>
    <row r="70" spans="1:28" ht="21" customHeight="1">
      <c r="A70" s="484" t="s">
        <v>3</v>
      </c>
      <c r="B70" s="484"/>
      <c r="C70" s="484"/>
      <c r="D70" s="484"/>
      <c r="E70" s="262"/>
      <c r="F70" s="57">
        <f>SUM(F39:F69)</f>
        <v>43150</v>
      </c>
      <c r="G70" s="263"/>
      <c r="H70" s="57">
        <f>SUM(H39:H69)</f>
        <v>86300</v>
      </c>
      <c r="I70" s="57">
        <f>SUM(I39:I69)</f>
        <v>86300</v>
      </c>
      <c r="J70" s="57">
        <f>SUM(J39:J69)</f>
        <v>0</v>
      </c>
      <c r="K70" s="32"/>
      <c r="L70" s="56"/>
      <c r="M70" s="271"/>
      <c r="N70" s="1"/>
      <c r="O70" s="1"/>
      <c r="P70" s="1"/>
      <c r="Q70" s="1"/>
      <c r="R70" s="1"/>
      <c r="S70" s="1"/>
      <c r="T70" s="1"/>
      <c r="U70" s="1"/>
      <c r="V70" s="52">
        <v>56</v>
      </c>
      <c r="W70" s="268"/>
      <c r="X70" s="269"/>
      <c r="Y70" s="259"/>
      <c r="Z70" s="264"/>
      <c r="AA70" s="267"/>
    </row>
    <row r="71" spans="1:28" ht="25.95" customHeight="1">
      <c r="A71" s="273"/>
      <c r="B71" s="273"/>
      <c r="C71" s="273"/>
      <c r="D71" s="273"/>
      <c r="E71" s="273"/>
      <c r="F71" s="274"/>
      <c r="G71" s="80"/>
      <c r="H71" s="274"/>
      <c r="I71" s="274"/>
      <c r="J71" s="274"/>
      <c r="K71" s="40"/>
      <c r="L71" s="56"/>
      <c r="M71" s="271"/>
      <c r="N71" s="1"/>
      <c r="O71" s="1"/>
      <c r="P71" s="1"/>
      <c r="Q71" s="1"/>
      <c r="R71" s="1"/>
      <c r="S71" s="1"/>
      <c r="T71" s="1"/>
      <c r="U71" s="1"/>
      <c r="V71" s="52">
        <v>57</v>
      </c>
      <c r="W71" s="268"/>
      <c r="X71" s="269"/>
      <c r="Y71" s="259"/>
      <c r="Z71" s="264"/>
      <c r="AA71" s="267"/>
    </row>
    <row r="72" spans="1:28" ht="33" customHeight="1">
      <c r="A72" s="273"/>
      <c r="B72" s="273"/>
      <c r="C72" s="273"/>
      <c r="D72" s="273"/>
      <c r="E72" s="273"/>
      <c r="F72" s="274"/>
      <c r="G72" s="80"/>
      <c r="H72" s="274"/>
      <c r="I72" s="274"/>
      <c r="J72" s="274"/>
      <c r="K72" s="40"/>
      <c r="L72" s="56"/>
      <c r="M72" s="271"/>
      <c r="N72" s="1"/>
      <c r="O72" s="1"/>
      <c r="P72" s="1"/>
      <c r="Q72" s="1"/>
      <c r="R72" s="1"/>
      <c r="S72" s="1"/>
      <c r="T72" s="1"/>
      <c r="U72" s="1"/>
      <c r="V72" s="52">
        <v>58</v>
      </c>
      <c r="W72" s="268"/>
      <c r="X72" s="269"/>
      <c r="Y72" s="259"/>
      <c r="Z72" s="264"/>
      <c r="AA72" s="267"/>
    </row>
    <row r="73" spans="1:28" ht="25.8" customHeight="1">
      <c r="A73" s="483" t="s">
        <v>152</v>
      </c>
      <c r="B73" s="483"/>
      <c r="C73" s="483"/>
      <c r="D73" s="483"/>
      <c r="E73" s="483"/>
      <c r="F73" s="483"/>
      <c r="G73" s="483"/>
      <c r="H73" s="483"/>
      <c r="I73" s="483"/>
      <c r="J73" s="483"/>
      <c r="K73" s="40"/>
      <c r="L73" s="56"/>
      <c r="M73" s="271"/>
      <c r="N73" s="1"/>
      <c r="U73" s="1"/>
      <c r="V73" s="52">
        <v>59</v>
      </c>
      <c r="W73" s="268"/>
      <c r="X73" s="269"/>
      <c r="Y73" s="259"/>
      <c r="Z73" s="264"/>
      <c r="AA73" s="267"/>
    </row>
    <row r="74" spans="1:28" ht="24" customHeight="1">
      <c r="A74" s="106" t="s">
        <v>4</v>
      </c>
      <c r="B74" s="9" t="s">
        <v>6</v>
      </c>
      <c r="C74" s="9" t="s">
        <v>430</v>
      </c>
      <c r="D74" s="106" t="s">
        <v>431</v>
      </c>
      <c r="E74" s="106" t="s">
        <v>434</v>
      </c>
      <c r="F74" s="106" t="s">
        <v>439</v>
      </c>
      <c r="G74" s="40"/>
      <c r="H74" s="96" t="s">
        <v>190</v>
      </c>
      <c r="I74" s="96" t="s">
        <v>723</v>
      </c>
      <c r="J74" s="96" t="s">
        <v>58</v>
      </c>
      <c r="K74" s="243"/>
      <c r="L74" s="56"/>
      <c r="M74" s="271"/>
      <c r="U74" s="1"/>
      <c r="V74" s="52">
        <v>60</v>
      </c>
      <c r="W74" s="268"/>
      <c r="X74" s="269"/>
      <c r="Y74" s="259"/>
      <c r="Z74" s="270"/>
      <c r="AA74" s="267"/>
    </row>
    <row r="75" spans="1:28" ht="32.4" customHeight="1">
      <c r="A75" s="33">
        <v>1</v>
      </c>
      <c r="B75" s="5" t="s">
        <v>432</v>
      </c>
      <c r="C75" s="5" t="s">
        <v>318</v>
      </c>
      <c r="D75" s="81" t="s">
        <v>433</v>
      </c>
      <c r="E75" s="81" t="s">
        <v>435</v>
      </c>
      <c r="F75" s="178">
        <v>900</v>
      </c>
      <c r="G75" s="275"/>
      <c r="H75" s="178">
        <f>+F75*2</f>
        <v>1800</v>
      </c>
      <c r="I75" s="33">
        <v>1800</v>
      </c>
      <c r="J75" s="28">
        <f>+H75-I75</f>
        <v>0</v>
      </c>
      <c r="K75" s="243"/>
      <c r="L75" s="56">
        <f>+J75+(F75*2)</f>
        <v>1800</v>
      </c>
      <c r="M75" s="271"/>
      <c r="U75" s="1"/>
      <c r="V75" s="52">
        <v>61</v>
      </c>
      <c r="W75" s="268"/>
      <c r="X75" s="269"/>
      <c r="Y75" s="259"/>
      <c r="Z75" s="264"/>
      <c r="AA75" s="267"/>
    </row>
    <row r="76" spans="1:28" ht="31.95" customHeight="1">
      <c r="A76" s="33">
        <v>2</v>
      </c>
      <c r="B76" s="5" t="s">
        <v>436</v>
      </c>
      <c r="C76" s="5" t="s">
        <v>437</v>
      </c>
      <c r="D76" s="81" t="s">
        <v>438</v>
      </c>
      <c r="E76" s="81" t="s">
        <v>438</v>
      </c>
      <c r="F76" s="178">
        <v>900</v>
      </c>
      <c r="G76" s="275"/>
      <c r="H76" s="178">
        <f t="shared" ref="H76:H105" si="9">+F76*2</f>
        <v>1800</v>
      </c>
      <c r="I76" s="33">
        <v>1800</v>
      </c>
      <c r="J76" s="28">
        <f t="shared" ref="J76:J105" si="10">+H76-I76</f>
        <v>0</v>
      </c>
      <c r="K76" s="243"/>
      <c r="L76" s="56">
        <f t="shared" ref="L76:L105" si="11">+J76+(F76*2)</f>
        <v>1800</v>
      </c>
      <c r="M76" s="271"/>
      <c r="U76" s="1"/>
      <c r="V76" s="52">
        <v>62</v>
      </c>
      <c r="W76" s="268"/>
      <c r="X76" s="269"/>
      <c r="Y76" s="259"/>
      <c r="Z76" s="276"/>
      <c r="AA76" s="267"/>
      <c r="AB76" s="1"/>
    </row>
    <row r="77" spans="1:28" ht="33.6" customHeight="1">
      <c r="A77" s="33">
        <v>3</v>
      </c>
      <c r="B77" s="5" t="s">
        <v>440</v>
      </c>
      <c r="C77" s="5" t="s">
        <v>441</v>
      </c>
      <c r="D77" s="81" t="s">
        <v>442</v>
      </c>
      <c r="E77" s="81" t="str">
        <f>+D77</f>
        <v>03409422825</v>
      </c>
      <c r="F77" s="178">
        <v>1750</v>
      </c>
      <c r="G77" s="275"/>
      <c r="H77" s="178">
        <f t="shared" si="9"/>
        <v>3500</v>
      </c>
      <c r="I77" s="33">
        <v>3500</v>
      </c>
      <c r="J77" s="28">
        <f t="shared" si="10"/>
        <v>0</v>
      </c>
      <c r="K77" s="243"/>
      <c r="L77" s="56">
        <f t="shared" si="11"/>
        <v>3500</v>
      </c>
      <c r="M77" s="271"/>
      <c r="U77" s="1"/>
      <c r="V77" s="52">
        <v>63</v>
      </c>
      <c r="W77" s="268"/>
      <c r="X77" s="269"/>
      <c r="Y77" s="259"/>
      <c r="Z77" s="264"/>
      <c r="AA77" s="267"/>
      <c r="AB77" s="1"/>
    </row>
    <row r="78" spans="1:28" ht="33.6" customHeight="1">
      <c r="A78" s="33">
        <v>4</v>
      </c>
      <c r="B78" s="5" t="s">
        <v>443</v>
      </c>
      <c r="C78" s="5" t="s">
        <v>441</v>
      </c>
      <c r="D78" s="81" t="s">
        <v>442</v>
      </c>
      <c r="E78" s="81" t="str">
        <f>+D78</f>
        <v>03409422825</v>
      </c>
      <c r="F78" s="178">
        <v>900</v>
      </c>
      <c r="G78" s="275"/>
      <c r="H78" s="178">
        <f t="shared" si="9"/>
        <v>1800</v>
      </c>
      <c r="I78" s="33">
        <v>1800</v>
      </c>
      <c r="J78" s="28">
        <f t="shared" si="10"/>
        <v>0</v>
      </c>
      <c r="K78" s="243"/>
      <c r="L78" s="56">
        <f t="shared" si="11"/>
        <v>1800</v>
      </c>
      <c r="M78" s="271"/>
      <c r="U78" s="1"/>
      <c r="V78" s="52">
        <v>64</v>
      </c>
      <c r="W78" s="268"/>
      <c r="X78" s="269"/>
      <c r="Y78" s="259"/>
      <c r="Z78" s="264"/>
      <c r="AA78" s="267"/>
      <c r="AB78" s="1"/>
    </row>
    <row r="79" spans="1:28" ht="36.6" customHeight="1">
      <c r="A79" s="33">
        <v>5</v>
      </c>
      <c r="B79" s="5" t="s">
        <v>326</v>
      </c>
      <c r="C79" s="5" t="s">
        <v>445</v>
      </c>
      <c r="D79" s="81" t="s">
        <v>446</v>
      </c>
      <c r="E79" s="81" t="s">
        <v>447</v>
      </c>
      <c r="F79" s="178">
        <v>1750</v>
      </c>
      <c r="G79" s="275"/>
      <c r="H79" s="178">
        <f t="shared" si="9"/>
        <v>3500</v>
      </c>
      <c r="I79" s="33">
        <v>3500</v>
      </c>
      <c r="J79" s="28">
        <f t="shared" si="10"/>
        <v>0</v>
      </c>
      <c r="K79" s="32"/>
      <c r="L79" s="56">
        <f t="shared" si="11"/>
        <v>3500</v>
      </c>
      <c r="M79" s="271"/>
      <c r="U79" s="1"/>
      <c r="V79" s="52">
        <v>65</v>
      </c>
      <c r="W79" s="268"/>
      <c r="X79" s="269"/>
      <c r="Y79" s="259"/>
      <c r="Z79" s="264"/>
      <c r="AA79" s="267"/>
      <c r="AB79" s="1"/>
    </row>
    <row r="80" spans="1:28" ht="36.6" customHeight="1">
      <c r="A80" s="33">
        <v>6</v>
      </c>
      <c r="B80" s="5" t="s">
        <v>633</v>
      </c>
      <c r="C80" s="5"/>
      <c r="D80" s="81"/>
      <c r="E80" s="81"/>
      <c r="F80" s="178">
        <v>1750</v>
      </c>
      <c r="G80" s="275"/>
      <c r="H80" s="178">
        <f t="shared" si="9"/>
        <v>3500</v>
      </c>
      <c r="I80" s="33">
        <v>3500</v>
      </c>
      <c r="J80" s="28">
        <f t="shared" si="10"/>
        <v>0</v>
      </c>
      <c r="K80" s="32"/>
      <c r="L80" s="56">
        <f t="shared" si="11"/>
        <v>3500</v>
      </c>
      <c r="M80" s="271"/>
      <c r="U80" s="1"/>
      <c r="V80" s="52">
        <v>66</v>
      </c>
      <c r="W80" s="268"/>
      <c r="X80" s="269"/>
      <c r="Y80" s="259"/>
      <c r="Z80" s="264"/>
      <c r="AA80" s="267"/>
      <c r="AB80" s="1"/>
    </row>
    <row r="81" spans="1:28" ht="36.6" customHeight="1">
      <c r="A81" s="33">
        <v>7</v>
      </c>
      <c r="B81" s="5" t="s">
        <v>448</v>
      </c>
      <c r="C81" s="5" t="s">
        <v>449</v>
      </c>
      <c r="D81" s="81" t="s">
        <v>450</v>
      </c>
      <c r="E81" s="33" t="str">
        <f>+D81</f>
        <v>03485438008</v>
      </c>
      <c r="F81" s="178">
        <v>1750</v>
      </c>
      <c r="G81" s="275"/>
      <c r="H81" s="178">
        <f t="shared" si="9"/>
        <v>3500</v>
      </c>
      <c r="I81" s="33">
        <v>3500</v>
      </c>
      <c r="J81" s="28">
        <f t="shared" si="10"/>
        <v>0</v>
      </c>
      <c r="K81" s="32"/>
      <c r="L81" s="56">
        <f t="shared" si="11"/>
        <v>3500</v>
      </c>
      <c r="M81" s="271"/>
      <c r="U81" s="1"/>
      <c r="V81" s="52">
        <v>67</v>
      </c>
      <c r="W81" s="268"/>
      <c r="X81" s="269"/>
      <c r="Y81" s="259"/>
      <c r="Z81" s="264"/>
      <c r="AA81" s="267"/>
      <c r="AB81" s="1"/>
    </row>
    <row r="82" spans="1:28" ht="36.6" customHeight="1">
      <c r="A82" s="33">
        <v>8</v>
      </c>
      <c r="B82" s="5" t="s">
        <v>79</v>
      </c>
      <c r="C82" s="5" t="s">
        <v>451</v>
      </c>
      <c r="D82" s="81" t="s">
        <v>44</v>
      </c>
      <c r="E82" s="33"/>
      <c r="F82" s="178">
        <v>900</v>
      </c>
      <c r="G82" s="275"/>
      <c r="H82" s="178">
        <f t="shared" si="9"/>
        <v>1800</v>
      </c>
      <c r="I82" s="33">
        <v>1800</v>
      </c>
      <c r="J82" s="28">
        <f t="shared" si="10"/>
        <v>0</v>
      </c>
      <c r="K82" s="32"/>
      <c r="L82" s="56">
        <f t="shared" si="11"/>
        <v>1800</v>
      </c>
      <c r="M82" s="271"/>
      <c r="U82" s="1"/>
      <c r="V82" s="52">
        <v>68</v>
      </c>
      <c r="W82" s="268"/>
      <c r="X82" s="269"/>
      <c r="Y82" s="259"/>
      <c r="Z82" s="264"/>
      <c r="AA82" s="267"/>
      <c r="AB82" s="1"/>
    </row>
    <row r="83" spans="1:28" ht="36.6" customHeight="1">
      <c r="A83" s="33">
        <v>9</v>
      </c>
      <c r="B83" s="5" t="s">
        <v>41</v>
      </c>
      <c r="C83" s="5"/>
      <c r="D83" s="81"/>
      <c r="E83" s="81"/>
      <c r="F83" s="178">
        <v>900</v>
      </c>
      <c r="G83" s="275"/>
      <c r="H83" s="178">
        <f t="shared" si="9"/>
        <v>1800</v>
      </c>
      <c r="I83" s="33">
        <v>1800</v>
      </c>
      <c r="J83" s="28">
        <f t="shared" si="10"/>
        <v>0</v>
      </c>
      <c r="K83" s="32"/>
      <c r="L83" s="56">
        <f t="shared" si="11"/>
        <v>1800</v>
      </c>
      <c r="M83" s="271"/>
      <c r="U83" s="1"/>
      <c r="V83" s="52">
        <v>69</v>
      </c>
      <c r="W83" s="268"/>
      <c r="X83" s="269"/>
      <c r="Y83" s="259"/>
      <c r="Z83" s="264"/>
      <c r="AA83" s="267"/>
      <c r="AB83" s="1"/>
    </row>
    <row r="84" spans="1:28" ht="36.6" customHeight="1">
      <c r="A84" s="33">
        <v>10</v>
      </c>
      <c r="B84" s="5" t="s">
        <v>452</v>
      </c>
      <c r="C84" s="5" t="s">
        <v>453</v>
      </c>
      <c r="D84" s="81" t="s">
        <v>454</v>
      </c>
      <c r="E84" s="33" t="str">
        <f>+D84</f>
        <v>03348301821</v>
      </c>
      <c r="F84" s="178">
        <v>0</v>
      </c>
      <c r="G84" s="275"/>
      <c r="H84" s="178">
        <f t="shared" si="9"/>
        <v>0</v>
      </c>
      <c r="I84" s="33">
        <v>0</v>
      </c>
      <c r="J84" s="28">
        <f t="shared" si="10"/>
        <v>0</v>
      </c>
      <c r="K84" s="32"/>
      <c r="L84" s="56">
        <f t="shared" si="11"/>
        <v>0</v>
      </c>
      <c r="M84" s="271"/>
      <c r="U84" s="1"/>
      <c r="V84" s="52">
        <v>70</v>
      </c>
      <c r="W84" s="268"/>
      <c r="X84" s="269"/>
      <c r="Y84" s="259"/>
      <c r="Z84" s="260"/>
      <c r="AA84" s="267"/>
      <c r="AB84" s="1"/>
    </row>
    <row r="85" spans="1:28" ht="40.200000000000003" customHeight="1">
      <c r="A85" s="33">
        <v>11</v>
      </c>
      <c r="B85" s="5" t="s">
        <v>455</v>
      </c>
      <c r="C85" s="5" t="s">
        <v>456</v>
      </c>
      <c r="D85" s="81" t="s">
        <v>457</v>
      </c>
      <c r="E85" s="33" t="str">
        <f>+D85</f>
        <v>03323785844</v>
      </c>
      <c r="F85" s="178">
        <v>1750</v>
      </c>
      <c r="G85" s="275"/>
      <c r="H85" s="178">
        <f t="shared" si="9"/>
        <v>3500</v>
      </c>
      <c r="I85" s="33">
        <v>3500</v>
      </c>
      <c r="J85" s="28">
        <f t="shared" si="10"/>
        <v>0</v>
      </c>
      <c r="K85" s="32"/>
      <c r="L85" s="56">
        <f t="shared" si="11"/>
        <v>3500</v>
      </c>
      <c r="M85" s="271"/>
      <c r="U85" s="1"/>
      <c r="V85" s="52">
        <v>71</v>
      </c>
      <c r="W85" s="268"/>
      <c r="X85" s="269"/>
      <c r="Y85" s="259"/>
      <c r="Z85" s="264"/>
      <c r="AA85" s="267"/>
      <c r="AB85" s="1"/>
    </row>
    <row r="86" spans="1:28" ht="40.200000000000003" customHeight="1">
      <c r="A86" s="33">
        <v>12</v>
      </c>
      <c r="B86" s="5" t="s">
        <v>464</v>
      </c>
      <c r="C86" s="5" t="s">
        <v>465</v>
      </c>
      <c r="D86" s="81" t="s">
        <v>466</v>
      </c>
      <c r="E86" s="33"/>
      <c r="F86" s="178">
        <v>1750</v>
      </c>
      <c r="G86" s="275"/>
      <c r="H86" s="178">
        <f t="shared" si="9"/>
        <v>3500</v>
      </c>
      <c r="I86" s="33">
        <v>3500</v>
      </c>
      <c r="J86" s="28">
        <f t="shared" si="10"/>
        <v>0</v>
      </c>
      <c r="K86" s="32"/>
      <c r="L86" s="56">
        <f t="shared" si="11"/>
        <v>3500</v>
      </c>
      <c r="M86" s="271"/>
      <c r="U86" s="1"/>
      <c r="V86" s="52">
        <v>72</v>
      </c>
      <c r="W86" s="268"/>
      <c r="X86" s="269"/>
      <c r="Y86" s="259"/>
      <c r="Z86" s="264"/>
      <c r="AA86" s="267"/>
      <c r="AB86" s="1"/>
    </row>
    <row r="87" spans="1:28" ht="40.200000000000003" customHeight="1">
      <c r="A87" s="33">
        <v>13</v>
      </c>
      <c r="B87" s="5" t="s">
        <v>619</v>
      </c>
      <c r="C87" s="5"/>
      <c r="D87" s="33"/>
      <c r="E87" s="33"/>
      <c r="F87" s="178">
        <v>900</v>
      </c>
      <c r="G87" s="275"/>
      <c r="H87" s="178">
        <f t="shared" si="9"/>
        <v>1800</v>
      </c>
      <c r="I87" s="33">
        <v>1800</v>
      </c>
      <c r="J87" s="28">
        <f t="shared" si="10"/>
        <v>0</v>
      </c>
      <c r="K87" s="32"/>
      <c r="L87" s="56">
        <f t="shared" si="11"/>
        <v>1800</v>
      </c>
      <c r="M87" s="271"/>
      <c r="U87" s="1"/>
      <c r="V87" s="52">
        <v>73</v>
      </c>
      <c r="W87" s="268"/>
      <c r="X87" s="269"/>
      <c r="Y87" s="259"/>
      <c r="Z87" s="264"/>
      <c r="AA87" s="267"/>
      <c r="AB87" s="1"/>
    </row>
    <row r="88" spans="1:28" ht="34.950000000000003" customHeight="1">
      <c r="A88" s="33">
        <v>14</v>
      </c>
      <c r="B88" s="5" t="s">
        <v>483</v>
      </c>
      <c r="C88" s="5" t="s">
        <v>484</v>
      </c>
      <c r="D88" s="81" t="s">
        <v>554</v>
      </c>
      <c r="E88" s="81" t="s">
        <v>554</v>
      </c>
      <c r="F88" s="178">
        <v>1000</v>
      </c>
      <c r="G88" s="275"/>
      <c r="H88" s="178">
        <f t="shared" si="9"/>
        <v>2000</v>
      </c>
      <c r="I88" s="33">
        <v>2000</v>
      </c>
      <c r="J88" s="28">
        <f t="shared" si="10"/>
        <v>0</v>
      </c>
      <c r="K88" s="32"/>
      <c r="L88" s="56">
        <f t="shared" si="11"/>
        <v>2000</v>
      </c>
      <c r="M88" s="271"/>
      <c r="U88" s="1"/>
      <c r="V88" s="52">
        <v>74</v>
      </c>
      <c r="W88" s="268"/>
      <c r="X88" s="269"/>
      <c r="Y88" s="259"/>
      <c r="Z88" s="264"/>
      <c r="AA88" s="267"/>
      <c r="AB88" s="1"/>
    </row>
    <row r="89" spans="1:28" ht="24.6" customHeight="1">
      <c r="A89" s="33">
        <v>15</v>
      </c>
      <c r="B89" s="5" t="s">
        <v>513</v>
      </c>
      <c r="C89" s="5" t="s">
        <v>164</v>
      </c>
      <c r="D89" s="28"/>
      <c r="E89" s="28"/>
      <c r="F89" s="178">
        <v>900</v>
      </c>
      <c r="G89" s="275"/>
      <c r="H89" s="178">
        <f t="shared" si="9"/>
        <v>1800</v>
      </c>
      <c r="I89" s="28">
        <v>1800</v>
      </c>
      <c r="J89" s="28">
        <f t="shared" si="10"/>
        <v>0</v>
      </c>
      <c r="K89" s="32"/>
      <c r="L89" s="56">
        <f t="shared" si="11"/>
        <v>1800</v>
      </c>
      <c r="M89" s="271"/>
      <c r="V89" s="277"/>
      <c r="W89" s="268"/>
      <c r="X89" s="269"/>
      <c r="Y89" s="259"/>
      <c r="Z89" s="264"/>
      <c r="AA89" s="267"/>
      <c r="AB89" s="1"/>
    </row>
    <row r="90" spans="1:28" ht="18.600000000000001" customHeight="1">
      <c r="A90" s="33">
        <v>16</v>
      </c>
      <c r="B90" s="5" t="s">
        <v>514</v>
      </c>
      <c r="C90" s="5" t="s">
        <v>117</v>
      </c>
      <c r="D90" s="35" t="s">
        <v>238</v>
      </c>
      <c r="E90" s="28" t="str">
        <f>+D90</f>
        <v>03339654211</v>
      </c>
      <c r="F90" s="178">
        <v>900</v>
      </c>
      <c r="G90" s="275"/>
      <c r="H90" s="178">
        <f t="shared" si="9"/>
        <v>1800</v>
      </c>
      <c r="I90" s="28">
        <v>1800</v>
      </c>
      <c r="J90" s="28">
        <f t="shared" si="10"/>
        <v>0</v>
      </c>
      <c r="K90" s="32"/>
      <c r="L90" s="56">
        <f t="shared" si="11"/>
        <v>1800</v>
      </c>
      <c r="M90" s="271"/>
      <c r="V90" s="277"/>
      <c r="W90" s="268"/>
      <c r="X90" s="269"/>
      <c r="Y90" s="259"/>
      <c r="Z90" s="264"/>
      <c r="AA90" s="267"/>
      <c r="AB90" s="1"/>
    </row>
    <row r="91" spans="1:28" ht="34.200000000000003" customHeight="1">
      <c r="A91" s="33">
        <v>17</v>
      </c>
      <c r="B91" s="5" t="s">
        <v>519</v>
      </c>
      <c r="C91" s="5" t="s">
        <v>520</v>
      </c>
      <c r="D91" s="35" t="s">
        <v>521</v>
      </c>
      <c r="E91" s="28" t="str">
        <f>+D91</f>
        <v>03349590762</v>
      </c>
      <c r="F91" s="178">
        <v>1750</v>
      </c>
      <c r="G91" s="275"/>
      <c r="H91" s="178">
        <f t="shared" si="9"/>
        <v>3500</v>
      </c>
      <c r="I91" s="28">
        <v>3500</v>
      </c>
      <c r="J91" s="28">
        <f t="shared" si="10"/>
        <v>0</v>
      </c>
      <c r="K91" s="32"/>
      <c r="L91" s="56">
        <f t="shared" si="11"/>
        <v>3500</v>
      </c>
      <c r="M91" s="271"/>
      <c r="V91" s="277"/>
      <c r="W91" s="268"/>
      <c r="X91" s="269"/>
      <c r="Y91" s="259"/>
      <c r="Z91" s="264"/>
      <c r="AA91" s="267"/>
      <c r="AB91" s="1"/>
    </row>
    <row r="92" spans="1:28" ht="18.600000000000001" customHeight="1" thickBot="1">
      <c r="A92" s="33">
        <v>18</v>
      </c>
      <c r="B92" s="39" t="s">
        <v>555</v>
      </c>
      <c r="C92" s="39" t="s">
        <v>66</v>
      </c>
      <c r="D92" s="73" t="s">
        <v>210</v>
      </c>
      <c r="E92" s="73" t="s">
        <v>556</v>
      </c>
      <c r="F92" s="178">
        <v>900</v>
      </c>
      <c r="G92" s="278"/>
      <c r="H92" s="178">
        <f t="shared" si="9"/>
        <v>1800</v>
      </c>
      <c r="I92" s="33">
        <v>900</v>
      </c>
      <c r="J92" s="28">
        <f t="shared" si="10"/>
        <v>900</v>
      </c>
      <c r="K92" s="32"/>
      <c r="L92" s="56">
        <f t="shared" si="11"/>
        <v>2700</v>
      </c>
      <c r="M92" s="271"/>
      <c r="V92" s="192" t="s">
        <v>92</v>
      </c>
      <c r="W92" s="485"/>
      <c r="X92" s="486"/>
      <c r="Y92" s="61">
        <f>SUM(Y10:Y91)</f>
        <v>699614</v>
      </c>
      <c r="Z92" s="62"/>
      <c r="AA92" s="63"/>
      <c r="AB92" s="1"/>
    </row>
    <row r="93" spans="1:28" ht="34.200000000000003" customHeight="1">
      <c r="A93" s="33">
        <v>19</v>
      </c>
      <c r="B93" s="39" t="s">
        <v>344</v>
      </c>
      <c r="C93" s="15" t="s">
        <v>76</v>
      </c>
      <c r="D93" s="81" t="s">
        <v>77</v>
      </c>
      <c r="E93" s="279"/>
      <c r="F93" s="178">
        <v>900</v>
      </c>
      <c r="G93" s="278"/>
      <c r="H93" s="178">
        <f t="shared" si="9"/>
        <v>1800</v>
      </c>
      <c r="I93" s="228">
        <v>1800</v>
      </c>
      <c r="J93" s="28">
        <f t="shared" si="10"/>
        <v>0</v>
      </c>
      <c r="K93" s="32"/>
      <c r="L93" s="56">
        <f t="shared" si="11"/>
        <v>1800</v>
      </c>
      <c r="M93" s="271"/>
      <c r="AB93" s="1"/>
    </row>
    <row r="94" spans="1:28" ht="34.200000000000003" customHeight="1">
      <c r="A94" s="33">
        <v>20</v>
      </c>
      <c r="B94" s="39" t="s">
        <v>808</v>
      </c>
      <c r="C94" s="39"/>
      <c r="D94" s="280"/>
      <c r="E94" s="279"/>
      <c r="F94" s="178">
        <v>1750</v>
      </c>
      <c r="G94" s="278"/>
      <c r="H94" s="178">
        <f t="shared" si="9"/>
        <v>3500</v>
      </c>
      <c r="I94" s="228">
        <v>3500</v>
      </c>
      <c r="J94" s="28">
        <f t="shared" si="10"/>
        <v>0</v>
      </c>
      <c r="K94" s="32"/>
      <c r="L94" s="56">
        <f t="shared" si="11"/>
        <v>3500</v>
      </c>
      <c r="M94" s="271"/>
      <c r="V94" s="36" t="s">
        <v>159</v>
      </c>
      <c r="W94" s="36"/>
      <c r="X94" s="36"/>
      <c r="Y94" s="36"/>
      <c r="Z94" s="36"/>
      <c r="AA94" s="30"/>
      <c r="AB94" s="1"/>
    </row>
    <row r="95" spans="1:28" ht="34.200000000000003" customHeight="1">
      <c r="A95" s="33">
        <v>21</v>
      </c>
      <c r="B95" s="39" t="s">
        <v>551</v>
      </c>
      <c r="C95" s="39" t="s">
        <v>552</v>
      </c>
      <c r="D95" s="73" t="s">
        <v>553</v>
      </c>
      <c r="E95" s="281" t="s">
        <v>553</v>
      </c>
      <c r="F95" s="178">
        <v>1750</v>
      </c>
      <c r="G95" s="278"/>
      <c r="H95" s="178">
        <f t="shared" si="9"/>
        <v>3500</v>
      </c>
      <c r="I95" s="228">
        <v>3500</v>
      </c>
      <c r="J95" s="28">
        <f t="shared" si="10"/>
        <v>0</v>
      </c>
      <c r="K95" s="32"/>
      <c r="L95" s="56">
        <f t="shared" si="11"/>
        <v>3500</v>
      </c>
      <c r="M95" s="42"/>
      <c r="V95" s="106" t="s">
        <v>160</v>
      </c>
      <c r="W95" s="96" t="s">
        <v>162</v>
      </c>
      <c r="X95" s="96" t="s">
        <v>183</v>
      </c>
      <c r="Y95" s="106" t="s">
        <v>153</v>
      </c>
      <c r="Z95" s="9" t="s">
        <v>161</v>
      </c>
      <c r="AA95" s="30"/>
      <c r="AB95" s="1"/>
    </row>
    <row r="96" spans="1:28" ht="22.2" customHeight="1">
      <c r="A96" s="33">
        <v>22</v>
      </c>
      <c r="B96" s="39" t="s">
        <v>571</v>
      </c>
      <c r="C96" s="39" t="s">
        <v>572</v>
      </c>
      <c r="D96" s="73" t="s">
        <v>573</v>
      </c>
      <c r="E96" s="281" t="str">
        <f>+D96</f>
        <v>03354554404</v>
      </c>
      <c r="F96" s="178">
        <v>1750</v>
      </c>
      <c r="G96" s="278"/>
      <c r="H96" s="178">
        <f t="shared" si="9"/>
        <v>3500</v>
      </c>
      <c r="I96" s="228">
        <v>3500</v>
      </c>
      <c r="J96" s="28">
        <f t="shared" si="10"/>
        <v>0</v>
      </c>
      <c r="K96" s="32"/>
      <c r="L96" s="56">
        <f t="shared" si="11"/>
        <v>3500</v>
      </c>
      <c r="M96" s="8"/>
      <c r="V96" s="33">
        <v>1</v>
      </c>
      <c r="W96" s="5"/>
      <c r="X96" s="5"/>
      <c r="Y96" s="46"/>
      <c r="Z96" s="5"/>
      <c r="AA96" s="30"/>
      <c r="AB96" s="1"/>
    </row>
    <row r="97" spans="1:28" ht="22.2" customHeight="1">
      <c r="A97" s="33">
        <v>23</v>
      </c>
      <c r="B97" s="39" t="s">
        <v>584</v>
      </c>
      <c r="C97" s="110"/>
      <c r="D97" s="280"/>
      <c r="E97" s="279"/>
      <c r="F97" s="178">
        <v>1750</v>
      </c>
      <c r="G97" s="278"/>
      <c r="H97" s="178">
        <f t="shared" si="9"/>
        <v>3500</v>
      </c>
      <c r="I97" s="228">
        <v>3500</v>
      </c>
      <c r="J97" s="28">
        <f t="shared" si="10"/>
        <v>0</v>
      </c>
      <c r="K97" s="32"/>
      <c r="L97" s="56">
        <f t="shared" si="11"/>
        <v>3500</v>
      </c>
      <c r="M97" s="282"/>
      <c r="V97" s="33">
        <v>2</v>
      </c>
      <c r="W97" s="5"/>
      <c r="X97" s="5"/>
      <c r="Y97" s="46"/>
      <c r="Z97" s="5"/>
      <c r="AA97" s="30"/>
      <c r="AB97" s="1"/>
    </row>
    <row r="98" spans="1:28" ht="28.95" customHeight="1">
      <c r="A98" s="33">
        <v>24</v>
      </c>
      <c r="B98" s="39" t="s">
        <v>485</v>
      </c>
      <c r="C98" s="39" t="s">
        <v>306</v>
      </c>
      <c r="D98" s="73" t="s">
        <v>617</v>
      </c>
      <c r="E98" s="120" t="s">
        <v>618</v>
      </c>
      <c r="F98" s="178">
        <v>1750</v>
      </c>
      <c r="G98" s="278"/>
      <c r="H98" s="178">
        <f t="shared" si="9"/>
        <v>3500</v>
      </c>
      <c r="I98" s="228">
        <v>1750</v>
      </c>
      <c r="J98" s="28">
        <f t="shared" si="10"/>
        <v>1750</v>
      </c>
      <c r="K98" s="32"/>
      <c r="L98" s="56">
        <f t="shared" si="11"/>
        <v>5250</v>
      </c>
      <c r="M98" s="1"/>
      <c r="V98" s="33">
        <v>3</v>
      </c>
      <c r="W98" s="27"/>
      <c r="X98" s="27"/>
      <c r="Y98" s="5"/>
      <c r="Z98" s="5"/>
      <c r="AA98" s="30"/>
      <c r="AB98" s="1"/>
    </row>
    <row r="99" spans="1:28" ht="22.2" customHeight="1">
      <c r="A99" s="33">
        <v>25</v>
      </c>
      <c r="B99" s="39" t="s">
        <v>611</v>
      </c>
      <c r="C99" s="39" t="s">
        <v>63</v>
      </c>
      <c r="D99" s="280"/>
      <c r="E99" s="279"/>
      <c r="F99" s="283">
        <v>0</v>
      </c>
      <c r="G99" s="278"/>
      <c r="H99" s="178">
        <f t="shared" si="9"/>
        <v>0</v>
      </c>
      <c r="I99" s="228">
        <v>0</v>
      </c>
      <c r="J99" s="28">
        <f t="shared" si="10"/>
        <v>0</v>
      </c>
      <c r="K99" s="32"/>
      <c r="L99" s="56">
        <f t="shared" si="11"/>
        <v>0</v>
      </c>
      <c r="M99" s="1"/>
      <c r="V99" s="33">
        <v>4</v>
      </c>
      <c r="W99" s="27"/>
      <c r="X99" s="27"/>
      <c r="Y99" s="5"/>
      <c r="Z99" s="27"/>
      <c r="AA99" s="30"/>
      <c r="AB99" s="1"/>
    </row>
    <row r="100" spans="1:28" ht="17.399999999999999">
      <c r="A100" s="33">
        <v>26</v>
      </c>
      <c r="B100" s="39" t="s">
        <v>716</v>
      </c>
      <c r="C100" s="39" t="s">
        <v>717</v>
      </c>
      <c r="D100" s="280"/>
      <c r="E100" s="279"/>
      <c r="F100" s="178">
        <v>1750</v>
      </c>
      <c r="G100" s="278"/>
      <c r="H100" s="178">
        <f t="shared" si="9"/>
        <v>3500</v>
      </c>
      <c r="I100" s="228">
        <v>3500</v>
      </c>
      <c r="J100" s="28">
        <f t="shared" si="10"/>
        <v>0</v>
      </c>
      <c r="K100" s="32"/>
      <c r="L100" s="56">
        <f t="shared" si="11"/>
        <v>3500</v>
      </c>
      <c r="M100" s="1"/>
      <c r="V100" s="33">
        <v>5</v>
      </c>
      <c r="W100" s="27"/>
      <c r="X100" s="27"/>
      <c r="Y100" s="5"/>
      <c r="Z100" s="27"/>
      <c r="AA100" s="30"/>
      <c r="AB100" s="1"/>
    </row>
    <row r="101" spans="1:28" ht="36" customHeight="1">
      <c r="A101" s="33">
        <v>27</v>
      </c>
      <c r="B101" s="39" t="s">
        <v>719</v>
      </c>
      <c r="C101" s="39"/>
      <c r="D101" s="280"/>
      <c r="E101" s="279"/>
      <c r="F101" s="178">
        <v>1750</v>
      </c>
      <c r="G101" s="278"/>
      <c r="H101" s="178">
        <f t="shared" si="9"/>
        <v>3500</v>
      </c>
      <c r="I101" s="228">
        <v>3500</v>
      </c>
      <c r="J101" s="28">
        <f t="shared" si="10"/>
        <v>0</v>
      </c>
      <c r="K101" s="32"/>
      <c r="L101" s="56">
        <f t="shared" si="11"/>
        <v>3500</v>
      </c>
      <c r="M101" s="1"/>
      <c r="V101" s="33">
        <v>6</v>
      </c>
      <c r="W101" s="27"/>
      <c r="X101" s="27"/>
      <c r="Y101" s="27"/>
      <c r="Z101" s="27"/>
      <c r="AA101" s="30"/>
      <c r="AB101" s="1"/>
    </row>
    <row r="102" spans="1:28" ht="24.6" customHeight="1">
      <c r="A102" s="33">
        <v>28</v>
      </c>
      <c r="B102" s="39" t="s">
        <v>720</v>
      </c>
      <c r="C102" s="39"/>
      <c r="D102" s="280"/>
      <c r="E102" s="279"/>
      <c r="F102" s="283">
        <v>900</v>
      </c>
      <c r="G102" s="278"/>
      <c r="H102" s="178">
        <f t="shared" si="9"/>
        <v>1800</v>
      </c>
      <c r="I102" s="228">
        <v>900</v>
      </c>
      <c r="J102" s="28">
        <f t="shared" si="10"/>
        <v>900</v>
      </c>
      <c r="K102" s="32"/>
      <c r="L102" s="56">
        <f t="shared" si="11"/>
        <v>2700</v>
      </c>
      <c r="M102" s="1"/>
      <c r="V102" s="33">
        <v>7</v>
      </c>
      <c r="W102" s="27"/>
      <c r="X102" s="27"/>
      <c r="Y102" s="27"/>
      <c r="Z102" s="27"/>
      <c r="AA102" s="30"/>
      <c r="AB102" s="1"/>
    </row>
    <row r="103" spans="1:28" ht="25.2" customHeight="1">
      <c r="A103" s="33">
        <v>29</v>
      </c>
      <c r="B103" s="39" t="s">
        <v>721</v>
      </c>
      <c r="C103" s="39"/>
      <c r="D103" s="280"/>
      <c r="E103" s="279"/>
      <c r="F103" s="178">
        <v>1750</v>
      </c>
      <c r="G103" s="278"/>
      <c r="H103" s="178">
        <f t="shared" si="9"/>
        <v>3500</v>
      </c>
      <c r="I103" s="228">
        <v>3500</v>
      </c>
      <c r="J103" s="28">
        <f t="shared" si="10"/>
        <v>0</v>
      </c>
      <c r="K103" s="32"/>
      <c r="L103" s="56">
        <f t="shared" si="11"/>
        <v>3500</v>
      </c>
      <c r="M103" s="1"/>
      <c r="V103" s="33">
        <v>8</v>
      </c>
      <c r="W103" s="27"/>
      <c r="X103" s="13"/>
      <c r="Y103" s="27"/>
      <c r="Z103" s="27"/>
      <c r="AA103" s="30"/>
      <c r="AB103" s="1"/>
    </row>
    <row r="104" spans="1:28" ht="22.2" customHeight="1">
      <c r="A104" s="33">
        <v>30</v>
      </c>
      <c r="B104" s="39" t="s">
        <v>890</v>
      </c>
      <c r="C104" s="39"/>
      <c r="D104" s="280"/>
      <c r="E104" s="284"/>
      <c r="F104" s="178">
        <v>1750</v>
      </c>
      <c r="G104" s="278"/>
      <c r="H104" s="178">
        <f t="shared" si="9"/>
        <v>3500</v>
      </c>
      <c r="I104" s="228">
        <v>3500</v>
      </c>
      <c r="J104" s="28">
        <f t="shared" si="10"/>
        <v>0</v>
      </c>
      <c r="K104" s="32"/>
      <c r="L104" s="56">
        <f t="shared" si="11"/>
        <v>3500</v>
      </c>
      <c r="M104" s="1"/>
      <c r="V104" s="33">
        <v>9</v>
      </c>
      <c r="W104" s="27"/>
      <c r="X104" s="27"/>
      <c r="Y104" s="27"/>
      <c r="Z104" s="27"/>
      <c r="AA104" s="30"/>
      <c r="AB104" s="1"/>
    </row>
    <row r="105" spans="1:28" ht="22.2" customHeight="1">
      <c r="A105" s="33">
        <v>31</v>
      </c>
      <c r="B105" s="39" t="s">
        <v>354</v>
      </c>
      <c r="C105" s="27"/>
      <c r="D105" s="27"/>
      <c r="E105" s="27"/>
      <c r="F105" s="178">
        <v>1750</v>
      </c>
      <c r="G105" s="30"/>
      <c r="H105" s="178">
        <f t="shared" si="9"/>
        <v>3500</v>
      </c>
      <c r="I105" s="228">
        <v>3500</v>
      </c>
      <c r="J105" s="28">
        <f t="shared" si="10"/>
        <v>0</v>
      </c>
      <c r="K105" s="13"/>
      <c r="L105" s="56">
        <f t="shared" si="11"/>
        <v>3500</v>
      </c>
      <c r="M105" s="1"/>
      <c r="V105" s="33">
        <v>10</v>
      </c>
      <c r="W105" s="27"/>
      <c r="X105" s="27"/>
      <c r="Y105" s="27"/>
      <c r="Z105" s="27"/>
      <c r="AA105" s="30"/>
      <c r="AB105" s="1"/>
    </row>
    <row r="106" spans="1:28" ht="22.2" customHeight="1">
      <c r="A106" s="484" t="s">
        <v>3</v>
      </c>
      <c r="B106" s="484"/>
      <c r="C106" s="484"/>
      <c r="D106" s="484"/>
      <c r="E106" s="262"/>
      <c r="F106" s="57">
        <f>SUM(F75:F105)</f>
        <v>40650</v>
      </c>
      <c r="G106" s="20"/>
      <c r="H106" s="57">
        <f>SUM(H75:H105)</f>
        <v>81300</v>
      </c>
      <c r="I106" s="57">
        <f t="shared" ref="I106:J106" si="12">SUM(I75:I105)</f>
        <v>77750</v>
      </c>
      <c r="J106" s="57">
        <f t="shared" si="12"/>
        <v>3550</v>
      </c>
      <c r="K106" s="32"/>
      <c r="L106" s="56"/>
      <c r="M106" s="1"/>
      <c r="V106" s="33"/>
      <c r="W106" s="27"/>
      <c r="X106" s="27"/>
      <c r="Y106" s="27"/>
      <c r="Z106" s="27"/>
      <c r="AA106" s="30"/>
      <c r="AB106" s="1"/>
    </row>
    <row r="107" spans="1:28" ht="22.2" customHeight="1">
      <c r="A107" s="40"/>
      <c r="B107" s="40"/>
      <c r="C107" s="40"/>
      <c r="D107" s="40"/>
      <c r="E107" s="40"/>
      <c r="F107" s="40"/>
      <c r="G107" s="40"/>
      <c r="H107" s="40"/>
      <c r="I107" s="285"/>
      <c r="J107" s="40"/>
      <c r="K107" s="40"/>
      <c r="L107" s="56"/>
      <c r="M107" s="1"/>
      <c r="V107" s="33">
        <v>11</v>
      </c>
      <c r="W107" s="27"/>
      <c r="X107" s="27"/>
      <c r="Y107" s="27"/>
      <c r="Z107" s="27"/>
      <c r="AA107" s="30"/>
      <c r="AB107" s="1"/>
    </row>
    <row r="108" spans="1:28" ht="33" customHeight="1">
      <c r="A108" s="477" t="s">
        <v>658</v>
      </c>
      <c r="B108" s="478"/>
      <c r="C108" s="478"/>
      <c r="D108" s="478"/>
      <c r="E108" s="478"/>
      <c r="F108" s="478"/>
      <c r="G108" s="478"/>
      <c r="H108" s="478"/>
      <c r="I108" s="478"/>
      <c r="J108" s="478"/>
      <c r="K108" s="479"/>
      <c r="L108" s="56"/>
      <c r="M108" s="1"/>
      <c r="V108" s="33">
        <v>12</v>
      </c>
      <c r="W108" s="27"/>
      <c r="X108" s="27"/>
      <c r="Y108" s="27"/>
      <c r="Z108" s="27"/>
      <c r="AA108" s="30"/>
      <c r="AB108" s="1"/>
    </row>
    <row r="109" spans="1:28" ht="22.2" customHeight="1">
      <c r="A109" s="106" t="s">
        <v>4</v>
      </c>
      <c r="B109" s="9" t="s">
        <v>6</v>
      </c>
      <c r="C109" s="106" t="s">
        <v>7</v>
      </c>
      <c r="D109" s="106" t="s">
        <v>0</v>
      </c>
      <c r="E109" s="106" t="s">
        <v>478</v>
      </c>
      <c r="F109" s="96" t="s">
        <v>5</v>
      </c>
      <c r="G109" s="98"/>
      <c r="H109" s="96" t="s">
        <v>190</v>
      </c>
      <c r="I109" s="96" t="s">
        <v>723</v>
      </c>
      <c r="J109" s="96" t="s">
        <v>58</v>
      </c>
      <c r="K109" s="112" t="s">
        <v>145</v>
      </c>
      <c r="L109" s="56"/>
      <c r="M109" s="1"/>
      <c r="V109" s="33">
        <v>13</v>
      </c>
      <c r="W109" s="27"/>
      <c r="X109" s="27"/>
      <c r="Y109" s="27"/>
      <c r="Z109" s="27"/>
      <c r="AA109" s="30"/>
      <c r="AB109" s="1"/>
    </row>
    <row r="110" spans="1:28" ht="22.2" customHeight="1">
      <c r="A110" s="28">
        <v>1</v>
      </c>
      <c r="B110" s="34" t="s">
        <v>248</v>
      </c>
      <c r="C110" s="34" t="s">
        <v>249</v>
      </c>
      <c r="D110" s="35" t="s">
        <v>250</v>
      </c>
      <c r="E110" s="35"/>
      <c r="F110" s="176">
        <v>1950</v>
      </c>
      <c r="G110" s="40"/>
      <c r="H110" s="176">
        <f>+F110*2</f>
        <v>3900</v>
      </c>
      <c r="I110" s="28">
        <v>3900</v>
      </c>
      <c r="J110" s="28">
        <f>+H110-I110</f>
        <v>0</v>
      </c>
      <c r="K110" s="286"/>
      <c r="L110" s="56">
        <f>+J110+F110*2</f>
        <v>3900</v>
      </c>
      <c r="M110" s="1"/>
      <c r="V110" s="33">
        <v>14</v>
      </c>
      <c r="W110" s="27"/>
      <c r="X110" s="287"/>
      <c r="Y110" s="27"/>
      <c r="Z110" s="27"/>
      <c r="AA110" s="30"/>
      <c r="AB110" s="1"/>
    </row>
    <row r="111" spans="1:28" ht="22.2" customHeight="1">
      <c r="A111" s="28">
        <v>2</v>
      </c>
      <c r="B111" s="34" t="s">
        <v>251</v>
      </c>
      <c r="C111" s="34" t="s">
        <v>252</v>
      </c>
      <c r="D111" s="35" t="s">
        <v>253</v>
      </c>
      <c r="E111" s="35"/>
      <c r="F111" s="176">
        <v>1950</v>
      </c>
      <c r="G111" s="40"/>
      <c r="H111" s="176">
        <f t="shared" ref="H111:H131" si="13">+F111*2</f>
        <v>3900</v>
      </c>
      <c r="I111" s="28">
        <v>3900</v>
      </c>
      <c r="J111" s="28">
        <f t="shared" ref="J111:J130" si="14">+H111-I111</f>
        <v>0</v>
      </c>
      <c r="K111" s="286"/>
      <c r="L111" s="56"/>
      <c r="M111" s="1"/>
      <c r="V111" s="33">
        <v>15</v>
      </c>
      <c r="W111" s="27"/>
      <c r="X111" s="287"/>
      <c r="Y111" s="27"/>
      <c r="Z111" s="27"/>
      <c r="AA111" s="30"/>
      <c r="AB111" s="1"/>
    </row>
    <row r="112" spans="1:28" ht="25.8" customHeight="1">
      <c r="A112" s="28">
        <v>3</v>
      </c>
      <c r="B112" s="34" t="s">
        <v>254</v>
      </c>
      <c r="C112" s="34" t="s">
        <v>103</v>
      </c>
      <c r="D112" s="35" t="s">
        <v>255</v>
      </c>
      <c r="E112" s="35"/>
      <c r="F112" s="176">
        <v>1950</v>
      </c>
      <c r="G112" s="40"/>
      <c r="H112" s="176">
        <f t="shared" si="13"/>
        <v>3900</v>
      </c>
      <c r="I112" s="28">
        <v>3900</v>
      </c>
      <c r="J112" s="28">
        <f t="shared" si="14"/>
        <v>0</v>
      </c>
      <c r="K112" s="286"/>
      <c r="L112" s="56"/>
      <c r="M112" s="1"/>
      <c r="V112" s="33">
        <v>16</v>
      </c>
      <c r="W112" s="27"/>
      <c r="X112" s="287"/>
      <c r="Y112" s="27"/>
      <c r="Z112" s="27"/>
      <c r="AA112" s="30"/>
      <c r="AB112" s="1"/>
    </row>
    <row r="113" spans="1:28" ht="22.2" customHeight="1">
      <c r="A113" s="28">
        <v>4</v>
      </c>
      <c r="B113" s="34" t="s">
        <v>256</v>
      </c>
      <c r="C113" s="34" t="s">
        <v>257</v>
      </c>
      <c r="D113" s="35" t="s">
        <v>258</v>
      </c>
      <c r="E113" s="35"/>
      <c r="F113" s="176">
        <v>1950</v>
      </c>
      <c r="G113" s="40"/>
      <c r="H113" s="176">
        <f t="shared" si="13"/>
        <v>3900</v>
      </c>
      <c r="I113" s="28">
        <v>3900</v>
      </c>
      <c r="J113" s="28">
        <f t="shared" si="14"/>
        <v>0</v>
      </c>
      <c r="K113" s="286"/>
      <c r="L113" s="56"/>
      <c r="M113" s="1"/>
      <c r="V113" s="33">
        <v>17</v>
      </c>
      <c r="W113" s="27"/>
      <c r="X113" s="287"/>
      <c r="Y113" s="27"/>
      <c r="Z113" s="27"/>
      <c r="AA113" s="30"/>
      <c r="AB113" s="1"/>
    </row>
    <row r="114" spans="1:28" ht="35.4" customHeight="1">
      <c r="A114" s="28">
        <v>5</v>
      </c>
      <c r="B114" s="34" t="s">
        <v>259</v>
      </c>
      <c r="C114" s="34" t="s">
        <v>260</v>
      </c>
      <c r="D114" s="35" t="s">
        <v>261</v>
      </c>
      <c r="E114" s="35"/>
      <c r="F114" s="176">
        <v>1950</v>
      </c>
      <c r="G114" s="40"/>
      <c r="H114" s="176">
        <f t="shared" si="13"/>
        <v>3900</v>
      </c>
      <c r="I114" s="28">
        <v>3900</v>
      </c>
      <c r="J114" s="28">
        <f t="shared" si="14"/>
        <v>0</v>
      </c>
      <c r="K114" s="286"/>
      <c r="L114" s="56"/>
      <c r="M114" s="1"/>
      <c r="V114" s="33">
        <v>18</v>
      </c>
      <c r="W114" s="27"/>
      <c r="X114" s="287"/>
      <c r="Y114" s="27"/>
      <c r="Z114" s="27"/>
      <c r="AB114" s="1"/>
    </row>
    <row r="115" spans="1:28" ht="36.6" customHeight="1">
      <c r="A115" s="28">
        <v>6</v>
      </c>
      <c r="B115" s="34" t="s">
        <v>262</v>
      </c>
      <c r="C115" s="34" t="s">
        <v>71</v>
      </c>
      <c r="D115" s="35" t="s">
        <v>72</v>
      </c>
      <c r="E115" s="35"/>
      <c r="F115" s="176">
        <v>1950</v>
      </c>
      <c r="G115" s="40"/>
      <c r="H115" s="176">
        <f t="shared" si="13"/>
        <v>3900</v>
      </c>
      <c r="I115" s="28">
        <v>3900</v>
      </c>
      <c r="J115" s="28">
        <f t="shared" si="14"/>
        <v>0</v>
      </c>
      <c r="K115" s="286"/>
      <c r="L115" s="56"/>
      <c r="M115" s="1"/>
      <c r="V115" s="27"/>
      <c r="W115" s="27"/>
      <c r="X115" s="27"/>
      <c r="Y115" s="27"/>
      <c r="Z115" s="27"/>
      <c r="AB115" s="1"/>
    </row>
    <row r="116" spans="1:28" ht="33" customHeight="1">
      <c r="A116" s="28">
        <v>7</v>
      </c>
      <c r="B116" s="34" t="s">
        <v>263</v>
      </c>
      <c r="C116" s="34" t="s">
        <v>45</v>
      </c>
      <c r="D116" s="35" t="s">
        <v>264</v>
      </c>
      <c r="E116" s="35"/>
      <c r="F116" s="176">
        <v>1950</v>
      </c>
      <c r="G116" s="40"/>
      <c r="H116" s="176">
        <f t="shared" si="13"/>
        <v>3900</v>
      </c>
      <c r="I116" s="28">
        <v>3900</v>
      </c>
      <c r="J116" s="28">
        <f t="shared" si="14"/>
        <v>0</v>
      </c>
      <c r="K116" s="286"/>
      <c r="M116" s="1"/>
      <c r="V116" s="27"/>
      <c r="W116" s="27"/>
      <c r="X116" s="27"/>
      <c r="Y116" s="27"/>
      <c r="Z116" s="27"/>
      <c r="AB116" s="1"/>
    </row>
    <row r="117" spans="1:28" ht="25.2" customHeight="1">
      <c r="A117" s="28">
        <v>8</v>
      </c>
      <c r="B117" s="34" t="s">
        <v>390</v>
      </c>
      <c r="C117" s="7" t="s">
        <v>13</v>
      </c>
      <c r="D117" s="288" t="s">
        <v>391</v>
      </c>
      <c r="E117" s="35"/>
      <c r="F117" s="176">
        <v>0</v>
      </c>
      <c r="G117" s="40"/>
      <c r="H117" s="176">
        <f t="shared" si="13"/>
        <v>0</v>
      </c>
      <c r="I117" s="28">
        <v>0</v>
      </c>
      <c r="J117" s="28">
        <f t="shared" si="14"/>
        <v>0</v>
      </c>
      <c r="K117" s="286"/>
      <c r="L117" s="56"/>
      <c r="M117" s="1"/>
      <c r="V117" s="289" t="s">
        <v>3</v>
      </c>
      <c r="W117" s="494"/>
      <c r="X117" s="495"/>
      <c r="Y117" s="290">
        <f>SUM(Y96:Y116)</f>
        <v>0</v>
      </c>
      <c r="Z117" s="9"/>
      <c r="AB117" s="1"/>
    </row>
    <row r="118" spans="1:28" ht="30">
      <c r="A118" s="28">
        <v>9</v>
      </c>
      <c r="B118" s="34" t="s">
        <v>356</v>
      </c>
      <c r="C118" s="34" t="s">
        <v>357</v>
      </c>
      <c r="D118" s="35" t="s">
        <v>358</v>
      </c>
      <c r="E118" s="35"/>
      <c r="F118" s="176">
        <v>1950</v>
      </c>
      <c r="H118" s="176">
        <f t="shared" si="13"/>
        <v>3900</v>
      </c>
      <c r="I118" s="28">
        <v>3900</v>
      </c>
      <c r="J118" s="28">
        <f t="shared" ref="J118:J124" si="15">+H118-I118</f>
        <v>0</v>
      </c>
      <c r="K118" s="286"/>
      <c r="L118" s="56"/>
      <c r="M118" s="1"/>
      <c r="AB118" s="1"/>
    </row>
    <row r="119" spans="1:28" ht="15" customHeight="1">
      <c r="A119" s="28">
        <v>10</v>
      </c>
      <c r="B119" s="34" t="s">
        <v>348</v>
      </c>
      <c r="C119" s="34" t="s">
        <v>268</v>
      </c>
      <c r="D119" s="35" t="s">
        <v>269</v>
      </c>
      <c r="E119" s="35"/>
      <c r="F119" s="176">
        <v>1950</v>
      </c>
      <c r="G119" s="40"/>
      <c r="H119" s="176">
        <f t="shared" si="13"/>
        <v>3900</v>
      </c>
      <c r="I119" s="28">
        <v>3900</v>
      </c>
      <c r="J119" s="28">
        <f t="shared" si="15"/>
        <v>0</v>
      </c>
      <c r="K119" s="286"/>
      <c r="L119" s="56"/>
      <c r="M119" s="1"/>
      <c r="V119" s="36" t="s">
        <v>242</v>
      </c>
      <c r="W119" s="36"/>
      <c r="X119" s="36"/>
      <c r="Y119" s="36"/>
      <c r="Z119" s="36"/>
      <c r="AB119" s="1"/>
    </row>
    <row r="120" spans="1:28" ht="15" customHeight="1">
      <c r="A120" s="28">
        <v>11</v>
      </c>
      <c r="B120" s="34" t="s">
        <v>270</v>
      </c>
      <c r="C120" s="34" t="s">
        <v>117</v>
      </c>
      <c r="D120" s="35" t="s">
        <v>275</v>
      </c>
      <c r="E120" s="35"/>
      <c r="F120" s="176">
        <v>1950</v>
      </c>
      <c r="G120" s="40"/>
      <c r="H120" s="176">
        <f t="shared" si="13"/>
        <v>3900</v>
      </c>
      <c r="I120" s="28">
        <v>3900</v>
      </c>
      <c r="J120" s="28">
        <f t="shared" si="15"/>
        <v>0</v>
      </c>
      <c r="K120" s="286"/>
      <c r="L120" s="56"/>
      <c r="M120" s="1"/>
      <c r="V120" s="9" t="s">
        <v>160</v>
      </c>
      <c r="W120" s="96" t="s">
        <v>243</v>
      </c>
      <c r="X120" s="96" t="s">
        <v>244</v>
      </c>
      <c r="Y120" s="9" t="s">
        <v>153</v>
      </c>
      <c r="Z120" s="9" t="s">
        <v>245</v>
      </c>
      <c r="AA120" s="9" t="s">
        <v>267</v>
      </c>
      <c r="AB120" s="1"/>
    </row>
    <row r="121" spans="1:28" ht="17.399999999999999">
      <c r="A121" s="28">
        <v>12</v>
      </c>
      <c r="B121" s="34" t="s">
        <v>271</v>
      </c>
      <c r="C121" s="34" t="s">
        <v>286</v>
      </c>
      <c r="D121" s="35" t="s">
        <v>287</v>
      </c>
      <c r="E121" s="35" t="s">
        <v>593</v>
      </c>
      <c r="F121" s="176">
        <v>1950</v>
      </c>
      <c r="G121" s="40"/>
      <c r="H121" s="176">
        <f t="shared" si="13"/>
        <v>3900</v>
      </c>
      <c r="I121" s="28">
        <v>3900</v>
      </c>
      <c r="J121" s="28">
        <f t="shared" si="15"/>
        <v>0</v>
      </c>
      <c r="K121" s="286"/>
      <c r="L121" s="56"/>
      <c r="M121" s="1"/>
      <c r="V121" s="33">
        <v>1</v>
      </c>
      <c r="W121" s="33"/>
      <c r="X121" s="5"/>
      <c r="Y121" s="46"/>
      <c r="Z121" s="291"/>
      <c r="AA121" s="5"/>
      <c r="AB121" s="1"/>
    </row>
    <row r="122" spans="1:28" ht="25.8" customHeight="1">
      <c r="A122" s="28">
        <v>13</v>
      </c>
      <c r="B122" s="34" t="s">
        <v>273</v>
      </c>
      <c r="C122" s="34" t="s">
        <v>78</v>
      </c>
      <c r="D122" s="35" t="s">
        <v>274</v>
      </c>
      <c r="E122" s="35"/>
      <c r="F122" s="176">
        <v>1000</v>
      </c>
      <c r="G122" s="40"/>
      <c r="H122" s="176">
        <f t="shared" si="13"/>
        <v>2000</v>
      </c>
      <c r="I122" s="28">
        <v>2000</v>
      </c>
      <c r="J122" s="28">
        <f t="shared" si="15"/>
        <v>0</v>
      </c>
      <c r="K122" s="286"/>
      <c r="L122" s="56"/>
      <c r="M122" s="1"/>
      <c r="O122" s="1"/>
      <c r="P122" s="1"/>
      <c r="Q122" s="1"/>
      <c r="R122" s="1"/>
      <c r="S122" s="1"/>
      <c r="T122" s="1"/>
      <c r="V122" s="33">
        <v>2</v>
      </c>
      <c r="W122" s="33"/>
      <c r="X122" s="5"/>
      <c r="Y122" s="46"/>
      <c r="Z122" s="291"/>
      <c r="AA122" s="5"/>
      <c r="AB122" s="1"/>
    </row>
    <row r="123" spans="1:28" ht="15" customHeight="1">
      <c r="A123" s="28">
        <v>14</v>
      </c>
      <c r="B123" s="136" t="s">
        <v>288</v>
      </c>
      <c r="C123" s="136" t="s">
        <v>294</v>
      </c>
      <c r="D123" s="73" t="s">
        <v>295</v>
      </c>
      <c r="E123" s="73"/>
      <c r="F123" s="176">
        <v>1950</v>
      </c>
      <c r="G123" s="292"/>
      <c r="H123" s="176">
        <f t="shared" si="13"/>
        <v>3900</v>
      </c>
      <c r="I123" s="28">
        <v>3900</v>
      </c>
      <c r="J123" s="28">
        <f t="shared" si="15"/>
        <v>0</v>
      </c>
      <c r="K123" s="286"/>
      <c r="L123" s="56"/>
      <c r="M123" s="1"/>
      <c r="N123" s="1"/>
      <c r="O123" s="1"/>
      <c r="P123" s="1"/>
      <c r="Q123" s="1"/>
      <c r="R123" s="1"/>
      <c r="S123" s="1"/>
      <c r="T123" s="1"/>
      <c r="V123" s="33">
        <v>3</v>
      </c>
      <c r="W123" s="33"/>
      <c r="X123" s="5"/>
      <c r="Y123" s="46"/>
      <c r="Z123" s="291"/>
      <c r="AA123" s="5"/>
      <c r="AB123" s="1"/>
    </row>
    <row r="124" spans="1:28" ht="15" customHeight="1">
      <c r="A124" s="28">
        <v>15</v>
      </c>
      <c r="B124" s="34" t="s">
        <v>291</v>
      </c>
      <c r="C124" s="34" t="s">
        <v>292</v>
      </c>
      <c r="D124" s="35" t="s">
        <v>293</v>
      </c>
      <c r="E124" s="35"/>
      <c r="F124" s="176">
        <v>1950</v>
      </c>
      <c r="G124" s="40"/>
      <c r="H124" s="176">
        <f t="shared" si="13"/>
        <v>3900</v>
      </c>
      <c r="I124" s="28">
        <v>3900</v>
      </c>
      <c r="J124" s="28">
        <f t="shared" si="15"/>
        <v>0</v>
      </c>
      <c r="K124" s="286"/>
      <c r="L124" s="56"/>
      <c r="M124" s="1"/>
      <c r="N124" s="1"/>
      <c r="O124" s="1"/>
      <c r="P124" s="1"/>
      <c r="Q124" s="1"/>
      <c r="R124" s="1"/>
      <c r="S124" s="1"/>
      <c r="T124" s="1"/>
      <c r="V124" s="33">
        <v>4</v>
      </c>
      <c r="W124" s="33"/>
      <c r="X124" s="5"/>
      <c r="Y124" s="46"/>
      <c r="Z124" s="291"/>
      <c r="AA124" s="5"/>
      <c r="AB124" s="1"/>
    </row>
    <row r="125" spans="1:28" ht="15" customHeight="1">
      <c r="A125" s="28">
        <v>16</v>
      </c>
      <c r="B125" s="34" t="s">
        <v>296</v>
      </c>
      <c r="C125" s="34" t="s">
        <v>297</v>
      </c>
      <c r="D125" s="35" t="s">
        <v>298</v>
      </c>
      <c r="E125" s="35"/>
      <c r="F125" s="176">
        <v>1000</v>
      </c>
      <c r="G125" s="40"/>
      <c r="H125" s="176">
        <f t="shared" si="13"/>
        <v>2000</v>
      </c>
      <c r="I125" s="28">
        <v>2000</v>
      </c>
      <c r="J125" s="28">
        <f t="shared" si="14"/>
        <v>0</v>
      </c>
      <c r="K125" s="286"/>
      <c r="L125" s="56"/>
      <c r="M125" s="1"/>
      <c r="N125" s="1"/>
      <c r="O125" s="1"/>
      <c r="P125" s="1"/>
      <c r="Q125" s="1"/>
      <c r="R125" s="1"/>
      <c r="S125" s="1"/>
      <c r="T125" s="1"/>
      <c r="V125" s="33">
        <v>5</v>
      </c>
      <c r="W125" s="12"/>
      <c r="X125" s="15"/>
      <c r="Y125" s="16"/>
      <c r="Z125" s="14"/>
      <c r="AA125" s="5"/>
      <c r="AB125" s="1"/>
    </row>
    <row r="126" spans="1:28" ht="15" customHeight="1">
      <c r="A126" s="28">
        <v>17</v>
      </c>
      <c r="B126" s="34" t="s">
        <v>302</v>
      </c>
      <c r="C126" s="34" t="s">
        <v>303</v>
      </c>
      <c r="D126" s="35" t="s">
        <v>304</v>
      </c>
      <c r="E126" s="35"/>
      <c r="F126" s="176">
        <v>1950</v>
      </c>
      <c r="G126" s="40"/>
      <c r="H126" s="176">
        <f t="shared" si="13"/>
        <v>3900</v>
      </c>
      <c r="I126" s="28">
        <v>3900</v>
      </c>
      <c r="J126" s="28">
        <f t="shared" si="14"/>
        <v>0</v>
      </c>
      <c r="K126" s="286"/>
      <c r="L126" s="56"/>
      <c r="M126" s="1"/>
      <c r="N126" s="1"/>
      <c r="O126" s="1"/>
      <c r="P126" s="1"/>
      <c r="Q126" s="1"/>
      <c r="R126" s="1"/>
      <c r="S126" s="1"/>
      <c r="T126" s="1"/>
      <c r="V126" s="33">
        <v>6</v>
      </c>
      <c r="W126" s="12"/>
      <c r="X126" s="5"/>
      <c r="Y126" s="16"/>
      <c r="Z126" s="291"/>
      <c r="AA126" s="5"/>
      <c r="AB126" s="1"/>
    </row>
    <row r="127" spans="1:28" ht="15" customHeight="1">
      <c r="A127" s="28">
        <v>18</v>
      </c>
      <c r="B127" s="34" t="s">
        <v>368</v>
      </c>
      <c r="C127" s="34" t="s">
        <v>140</v>
      </c>
      <c r="D127" s="35" t="s">
        <v>219</v>
      </c>
      <c r="E127" s="35"/>
      <c r="F127" s="176">
        <v>0</v>
      </c>
      <c r="G127" s="80"/>
      <c r="H127" s="176">
        <f t="shared" si="13"/>
        <v>0</v>
      </c>
      <c r="I127" s="28">
        <v>0</v>
      </c>
      <c r="J127" s="28">
        <f t="shared" si="14"/>
        <v>0</v>
      </c>
      <c r="K127" s="286"/>
      <c r="L127" s="56"/>
      <c r="M127" s="1"/>
      <c r="N127" s="1"/>
      <c r="O127" s="1"/>
      <c r="P127" s="1"/>
      <c r="Q127" s="1"/>
      <c r="R127" s="1"/>
      <c r="S127" s="1"/>
      <c r="T127" s="1"/>
      <c r="V127" s="33">
        <v>7</v>
      </c>
      <c r="W127" s="12"/>
      <c r="X127" s="5"/>
      <c r="Y127" s="16"/>
      <c r="Z127" s="5"/>
      <c r="AA127" s="5"/>
      <c r="AB127" s="1"/>
    </row>
    <row r="128" spans="1:28" ht="15" customHeight="1">
      <c r="A128" s="28">
        <v>19</v>
      </c>
      <c r="B128" s="64" t="s">
        <v>809</v>
      </c>
      <c r="C128" s="34"/>
      <c r="D128" s="35"/>
      <c r="E128" s="35"/>
      <c r="F128" s="176">
        <v>1950</v>
      </c>
      <c r="G128" s="20"/>
      <c r="H128" s="176">
        <f t="shared" si="13"/>
        <v>3900</v>
      </c>
      <c r="I128" s="28">
        <v>3900</v>
      </c>
      <c r="J128" s="28">
        <f t="shared" si="14"/>
        <v>0</v>
      </c>
      <c r="K128" s="286"/>
      <c r="L128" s="56"/>
      <c r="M128" s="1"/>
      <c r="N128" s="1"/>
      <c r="O128" s="1"/>
      <c r="P128" s="1"/>
      <c r="Q128" s="1"/>
      <c r="R128" s="1"/>
      <c r="S128" s="1"/>
      <c r="T128" s="1"/>
      <c r="V128" s="33">
        <v>8</v>
      </c>
      <c r="W128" s="12"/>
      <c r="X128" s="5"/>
      <c r="Y128" s="16"/>
      <c r="Z128" s="5"/>
      <c r="AA128" s="5"/>
      <c r="AB128" s="1"/>
    </row>
    <row r="129" spans="1:28" ht="15" customHeight="1">
      <c r="A129" s="28">
        <v>20</v>
      </c>
      <c r="B129" s="34" t="s">
        <v>289</v>
      </c>
      <c r="C129" s="34" t="s">
        <v>290</v>
      </c>
      <c r="D129" s="35" t="s">
        <v>583</v>
      </c>
      <c r="E129" s="35"/>
      <c r="F129" s="176">
        <v>1950</v>
      </c>
      <c r="G129" s="40"/>
      <c r="H129" s="176">
        <f t="shared" si="13"/>
        <v>3900</v>
      </c>
      <c r="I129" s="28">
        <v>3900</v>
      </c>
      <c r="J129" s="28">
        <f t="shared" si="14"/>
        <v>0</v>
      </c>
      <c r="K129" s="286"/>
      <c r="L129" s="56"/>
      <c r="M129" s="1"/>
      <c r="N129" s="1"/>
      <c r="O129" s="1"/>
      <c r="P129" s="1"/>
      <c r="Q129" s="1"/>
      <c r="R129" s="1"/>
      <c r="S129" s="1"/>
      <c r="T129" s="1"/>
      <c r="V129" s="33">
        <v>9</v>
      </c>
      <c r="W129" s="12"/>
      <c r="X129" s="5"/>
      <c r="Y129" s="16"/>
      <c r="Z129" s="5"/>
      <c r="AA129" s="5"/>
      <c r="AB129" s="1"/>
    </row>
    <row r="130" spans="1:28" ht="15" customHeight="1">
      <c r="A130" s="28">
        <v>21</v>
      </c>
      <c r="B130" s="34" t="s">
        <v>311</v>
      </c>
      <c r="C130" s="34" t="s">
        <v>111</v>
      </c>
      <c r="D130" s="103" t="s">
        <v>312</v>
      </c>
      <c r="E130" s="103"/>
      <c r="F130" s="176">
        <v>1950</v>
      </c>
      <c r="G130" s="40"/>
      <c r="H130" s="176">
        <f t="shared" si="13"/>
        <v>3900</v>
      </c>
      <c r="I130" s="28">
        <v>3900</v>
      </c>
      <c r="J130" s="28">
        <f t="shared" si="14"/>
        <v>0</v>
      </c>
      <c r="K130" s="286"/>
      <c r="L130" s="56"/>
      <c r="M130" s="1"/>
      <c r="N130" s="1"/>
      <c r="O130" s="1"/>
      <c r="P130" s="1"/>
      <c r="Q130" s="1"/>
      <c r="R130" s="1"/>
      <c r="S130" s="1"/>
      <c r="T130" s="1"/>
      <c r="V130" s="33">
        <v>10</v>
      </c>
      <c r="W130" s="12"/>
      <c r="X130" s="5"/>
      <c r="Y130" s="16"/>
      <c r="Z130" s="5"/>
      <c r="AA130" s="5"/>
      <c r="AB130" s="1"/>
    </row>
    <row r="131" spans="1:28" ht="23.4" customHeight="1">
      <c r="A131" s="28">
        <v>21</v>
      </c>
      <c r="B131" s="136" t="s">
        <v>369</v>
      </c>
      <c r="C131" s="136" t="s">
        <v>32</v>
      </c>
      <c r="D131" s="73" t="s">
        <v>141</v>
      </c>
      <c r="E131" s="73"/>
      <c r="F131" s="176">
        <v>1000</v>
      </c>
      <c r="G131" s="293"/>
      <c r="H131" s="176">
        <f t="shared" si="13"/>
        <v>2000</v>
      </c>
      <c r="I131" s="28">
        <v>2000</v>
      </c>
      <c r="J131" s="28">
        <f>+H131-I131</f>
        <v>0</v>
      </c>
      <c r="K131" s="286"/>
      <c r="L131" s="56"/>
      <c r="M131" s="1"/>
      <c r="N131" s="1"/>
      <c r="O131" s="1"/>
      <c r="P131" s="1"/>
      <c r="Q131" s="1"/>
      <c r="R131" s="1"/>
      <c r="S131" s="1"/>
      <c r="T131" s="1"/>
      <c r="V131" s="33">
        <v>11</v>
      </c>
      <c r="W131" s="12"/>
      <c r="X131" s="5"/>
      <c r="Y131" s="16"/>
      <c r="Z131" s="5"/>
      <c r="AA131" s="5"/>
      <c r="AB131" s="1"/>
    </row>
    <row r="132" spans="1:28" ht="17.399999999999999">
      <c r="A132" s="480" t="s">
        <v>3</v>
      </c>
      <c r="B132" s="481"/>
      <c r="C132" s="481"/>
      <c r="D132" s="482"/>
      <c r="E132" s="262"/>
      <c r="F132" s="57">
        <f>SUM(F110:F131)</f>
        <v>36150</v>
      </c>
      <c r="G132" s="20"/>
      <c r="H132" s="57">
        <f>SUM(H110:H131)</f>
        <v>72300</v>
      </c>
      <c r="I132" s="57">
        <f t="shared" ref="I132:J132" si="16">SUM(I110:I131)</f>
        <v>72300</v>
      </c>
      <c r="J132" s="57">
        <f t="shared" si="16"/>
        <v>0</v>
      </c>
      <c r="K132" s="32"/>
      <c r="L132" s="56"/>
      <c r="M132" s="1"/>
      <c r="N132" s="1"/>
      <c r="O132" s="1"/>
      <c r="P132" s="1"/>
      <c r="Q132" s="1"/>
      <c r="R132" s="1"/>
      <c r="S132" s="1"/>
      <c r="T132" s="1"/>
      <c r="V132" s="33"/>
      <c r="W132" s="12"/>
      <c r="X132" s="5"/>
      <c r="Y132" s="16"/>
      <c r="Z132" s="5"/>
      <c r="AA132" s="5"/>
      <c r="AB132" s="1"/>
    </row>
    <row r="133" spans="1:28" ht="15.6">
      <c r="A133" s="477" t="s">
        <v>659</v>
      </c>
      <c r="B133" s="478"/>
      <c r="C133" s="478"/>
      <c r="D133" s="478"/>
      <c r="E133" s="478"/>
      <c r="F133" s="478"/>
      <c r="G133" s="478"/>
      <c r="H133" s="478"/>
      <c r="I133" s="478"/>
      <c r="J133" s="478"/>
      <c r="K133" s="479"/>
      <c r="L133" s="56"/>
      <c r="M133" s="1"/>
      <c r="N133" s="1"/>
      <c r="O133" s="1"/>
      <c r="P133" s="1"/>
      <c r="Q133" s="1"/>
      <c r="R133" s="1"/>
      <c r="S133" s="1"/>
      <c r="T133" s="1"/>
      <c r="V133" s="33"/>
      <c r="W133" s="12"/>
      <c r="X133" s="5"/>
      <c r="Y133" s="16"/>
      <c r="Z133" s="5"/>
      <c r="AA133" s="5"/>
      <c r="AB133" s="1"/>
    </row>
    <row r="134" spans="1:28" ht="15.6">
      <c r="A134" s="106" t="s">
        <v>4</v>
      </c>
      <c r="B134" s="9" t="s">
        <v>6</v>
      </c>
      <c r="C134" s="106" t="s">
        <v>7</v>
      </c>
      <c r="D134" s="106" t="s">
        <v>0</v>
      </c>
      <c r="E134" s="106"/>
      <c r="F134" s="96" t="s">
        <v>5</v>
      </c>
      <c r="G134" s="98"/>
      <c r="H134" s="96" t="s">
        <v>190</v>
      </c>
      <c r="I134" s="96" t="s">
        <v>723</v>
      </c>
      <c r="J134" s="96" t="s">
        <v>58</v>
      </c>
      <c r="K134" s="97" t="s">
        <v>145</v>
      </c>
      <c r="L134" s="56"/>
      <c r="M134" s="1"/>
      <c r="N134" s="1"/>
      <c r="O134" s="1"/>
      <c r="P134" s="1"/>
      <c r="Q134" s="1"/>
      <c r="R134" s="1"/>
      <c r="S134" s="1"/>
      <c r="T134" s="1"/>
      <c r="V134" s="33"/>
      <c r="W134" s="12"/>
      <c r="X134" s="5"/>
      <c r="Y134" s="16"/>
      <c r="Z134" s="5"/>
      <c r="AA134" s="5"/>
      <c r="AB134" s="1"/>
    </row>
    <row r="135" spans="1:28" ht="27.6" customHeight="1">
      <c r="A135" s="28">
        <v>1</v>
      </c>
      <c r="B135" s="34" t="s">
        <v>313</v>
      </c>
      <c r="C135" s="34" t="s">
        <v>268</v>
      </c>
      <c r="D135" s="35" t="s">
        <v>314</v>
      </c>
      <c r="E135" s="35"/>
      <c r="F135" s="176">
        <v>1950</v>
      </c>
      <c r="G135" s="40"/>
      <c r="H135" s="176">
        <f t="shared" ref="H135:H157" si="17">+F135*2</f>
        <v>3900</v>
      </c>
      <c r="I135" s="28">
        <v>3900</v>
      </c>
      <c r="J135" s="28">
        <f t="shared" ref="J135:J157" si="18">+H135-I135</f>
        <v>0</v>
      </c>
      <c r="K135" s="286"/>
      <c r="L135" s="56">
        <f>+J135+(F135*2)</f>
        <v>3900</v>
      </c>
      <c r="M135" s="1"/>
      <c r="N135" s="1"/>
      <c r="O135" s="1"/>
      <c r="P135" s="1"/>
      <c r="Q135" s="1"/>
      <c r="R135" s="1"/>
      <c r="S135" s="1"/>
      <c r="T135" s="1"/>
      <c r="U135" s="1"/>
      <c r="V135" s="33"/>
      <c r="W135" s="12"/>
      <c r="X135" s="5"/>
      <c r="Y135" s="16"/>
      <c r="Z135" s="5"/>
      <c r="AA135" s="5"/>
      <c r="AB135" s="1"/>
    </row>
    <row r="136" spans="1:28" ht="21.6" customHeight="1">
      <c r="A136" s="28">
        <v>2</v>
      </c>
      <c r="B136" s="34" t="s">
        <v>309</v>
      </c>
      <c r="C136" s="34" t="s">
        <v>112</v>
      </c>
      <c r="D136" s="35" t="s">
        <v>310</v>
      </c>
      <c r="E136" s="35"/>
      <c r="F136" s="176">
        <v>1000</v>
      </c>
      <c r="G136" s="40"/>
      <c r="H136" s="176">
        <f t="shared" si="17"/>
        <v>2000</v>
      </c>
      <c r="I136" s="28">
        <v>2000</v>
      </c>
      <c r="J136" s="28">
        <f t="shared" si="18"/>
        <v>0</v>
      </c>
      <c r="K136" s="286"/>
      <c r="L136" s="56">
        <f t="shared" ref="L136:L157" si="19">+J136+(F136*2)</f>
        <v>2000</v>
      </c>
      <c r="M136" s="1"/>
      <c r="N136" s="1"/>
      <c r="O136" s="1"/>
      <c r="P136" s="1"/>
      <c r="Q136" s="1"/>
      <c r="R136" s="1"/>
      <c r="S136" s="1"/>
      <c r="T136" s="1"/>
      <c r="U136" s="1"/>
      <c r="V136" s="33"/>
      <c r="W136" s="12"/>
      <c r="X136" s="5"/>
      <c r="Y136" s="16"/>
      <c r="Z136" s="5"/>
      <c r="AA136" s="5"/>
      <c r="AB136" s="1"/>
    </row>
    <row r="137" spans="1:28" ht="22.95" customHeight="1">
      <c r="A137" s="28">
        <v>3</v>
      </c>
      <c r="B137" s="34" t="s">
        <v>328</v>
      </c>
      <c r="C137" s="34" t="s">
        <v>329</v>
      </c>
      <c r="D137" s="35" t="s">
        <v>327</v>
      </c>
      <c r="E137" s="35"/>
      <c r="F137" s="176">
        <v>1950</v>
      </c>
      <c r="H137" s="176">
        <f t="shared" si="17"/>
        <v>3900</v>
      </c>
      <c r="I137" s="28">
        <v>3900</v>
      </c>
      <c r="J137" s="28">
        <f t="shared" si="18"/>
        <v>0</v>
      </c>
      <c r="K137" s="286"/>
      <c r="L137" s="56">
        <f t="shared" si="19"/>
        <v>3900</v>
      </c>
      <c r="M137" s="282"/>
      <c r="N137" s="1"/>
      <c r="O137" s="1"/>
      <c r="P137" s="1"/>
      <c r="Q137" s="1"/>
      <c r="R137" s="1"/>
      <c r="S137" s="1"/>
      <c r="T137" s="1"/>
      <c r="U137" s="1"/>
      <c r="V137" s="106" t="s">
        <v>3</v>
      </c>
      <c r="W137" s="494"/>
      <c r="X137" s="495"/>
      <c r="Y137" s="290">
        <f>SUM(Y121:Y136)</f>
        <v>0</v>
      </c>
      <c r="Z137" s="13"/>
      <c r="AA137" s="5"/>
      <c r="AB137" s="1"/>
    </row>
    <row r="138" spans="1:28" ht="22.95" customHeight="1">
      <c r="A138" s="28">
        <v>4</v>
      </c>
      <c r="B138" s="34" t="s">
        <v>333</v>
      </c>
      <c r="C138" s="34" t="s">
        <v>392</v>
      </c>
      <c r="D138" s="35" t="s">
        <v>400</v>
      </c>
      <c r="E138" s="35"/>
      <c r="F138" s="176">
        <v>1950</v>
      </c>
      <c r="H138" s="176">
        <f t="shared" si="17"/>
        <v>3900</v>
      </c>
      <c r="I138" s="28">
        <v>3900</v>
      </c>
      <c r="J138" s="28">
        <f t="shared" si="18"/>
        <v>0</v>
      </c>
      <c r="K138" s="286"/>
      <c r="L138" s="56">
        <f t="shared" si="19"/>
        <v>3900</v>
      </c>
      <c r="M138" s="1"/>
      <c r="N138" s="1"/>
      <c r="O138" s="1"/>
      <c r="P138" s="1"/>
      <c r="Q138" s="1"/>
      <c r="R138" s="1"/>
      <c r="S138" s="1"/>
      <c r="T138" s="1"/>
      <c r="U138" s="1"/>
      <c r="AB138" s="1"/>
    </row>
    <row r="139" spans="1:28" ht="22.95" customHeight="1">
      <c r="A139" s="28">
        <v>5</v>
      </c>
      <c r="B139" s="34" t="s">
        <v>336</v>
      </c>
      <c r="C139" s="34" t="s">
        <v>112</v>
      </c>
      <c r="D139" s="35" t="s">
        <v>383</v>
      </c>
      <c r="E139" s="35"/>
      <c r="F139" s="176">
        <v>1950</v>
      </c>
      <c r="H139" s="176">
        <f t="shared" si="17"/>
        <v>3900</v>
      </c>
      <c r="I139" s="28">
        <v>3900</v>
      </c>
      <c r="J139" s="28">
        <f t="shared" si="18"/>
        <v>0</v>
      </c>
      <c r="K139" s="286"/>
      <c r="L139" s="56">
        <f t="shared" si="19"/>
        <v>3900</v>
      </c>
      <c r="N139" s="1"/>
      <c r="O139" s="1"/>
      <c r="P139" s="1"/>
      <c r="Q139" s="1"/>
      <c r="R139" s="1"/>
      <c r="S139" s="1"/>
      <c r="T139" s="1"/>
      <c r="U139" s="1"/>
      <c r="Y139" s="71"/>
      <c r="AB139" s="1"/>
    </row>
    <row r="140" spans="1:28" ht="17.399999999999999">
      <c r="A140" s="28">
        <v>6</v>
      </c>
      <c r="B140" s="34" t="s">
        <v>382</v>
      </c>
      <c r="C140" s="34" t="s">
        <v>384</v>
      </c>
      <c r="D140" s="35" t="s">
        <v>385</v>
      </c>
      <c r="E140" s="35"/>
      <c r="F140" s="176">
        <v>1950</v>
      </c>
      <c r="H140" s="176">
        <f t="shared" si="17"/>
        <v>3900</v>
      </c>
      <c r="I140" s="28">
        <v>3900</v>
      </c>
      <c r="J140" s="28">
        <f t="shared" si="18"/>
        <v>0</v>
      </c>
      <c r="K140" s="286"/>
      <c r="L140" s="56">
        <f t="shared" si="19"/>
        <v>3900</v>
      </c>
      <c r="M140" s="118"/>
      <c r="N140" s="1"/>
      <c r="O140" s="1"/>
      <c r="P140" s="1"/>
      <c r="Q140" s="1"/>
      <c r="R140" s="1"/>
      <c r="S140" s="1"/>
      <c r="T140" s="1"/>
      <c r="U140" s="1"/>
      <c r="AB140" s="1"/>
    </row>
    <row r="141" spans="1:28" ht="19.2" customHeight="1">
      <c r="A141" s="28">
        <v>7</v>
      </c>
      <c r="B141" s="34" t="s">
        <v>345</v>
      </c>
      <c r="C141" s="34" t="s">
        <v>346</v>
      </c>
      <c r="D141" s="35" t="s">
        <v>347</v>
      </c>
      <c r="E141" s="35"/>
      <c r="F141" s="176">
        <v>1950</v>
      </c>
      <c r="H141" s="176">
        <f t="shared" si="17"/>
        <v>3900</v>
      </c>
      <c r="I141" s="28">
        <v>3900</v>
      </c>
      <c r="J141" s="28">
        <f t="shared" si="18"/>
        <v>0</v>
      </c>
      <c r="K141" s="286"/>
      <c r="L141" s="56">
        <f t="shared" si="19"/>
        <v>3900</v>
      </c>
      <c r="N141" s="1"/>
      <c r="O141" s="1"/>
      <c r="P141" s="1"/>
      <c r="Q141" s="1"/>
      <c r="R141" s="1"/>
      <c r="S141" s="1"/>
      <c r="T141" s="1"/>
      <c r="U141" s="1"/>
      <c r="AB141" s="1"/>
    </row>
    <row r="142" spans="1:28" ht="30">
      <c r="A142" s="28">
        <v>8</v>
      </c>
      <c r="B142" s="34" t="s">
        <v>352</v>
      </c>
      <c r="C142" s="34" t="s">
        <v>393</v>
      </c>
      <c r="D142" s="35" t="s">
        <v>394</v>
      </c>
      <c r="E142" s="35"/>
      <c r="F142" s="176">
        <v>1950</v>
      </c>
      <c r="H142" s="176">
        <f t="shared" si="17"/>
        <v>3900</v>
      </c>
      <c r="I142" s="28">
        <v>3900</v>
      </c>
      <c r="J142" s="28">
        <f t="shared" si="18"/>
        <v>0</v>
      </c>
      <c r="K142" s="286"/>
      <c r="L142" s="56">
        <f t="shared" si="19"/>
        <v>3900</v>
      </c>
      <c r="N142" s="1"/>
      <c r="O142" s="1"/>
      <c r="P142" s="1"/>
      <c r="Q142" s="1"/>
      <c r="R142" s="1"/>
      <c r="S142" s="1"/>
      <c r="T142" s="1"/>
      <c r="U142" s="1"/>
      <c r="AB142" s="1"/>
    </row>
    <row r="143" spans="1:28" ht="33.6" customHeight="1">
      <c r="A143" s="28">
        <v>9</v>
      </c>
      <c r="B143" s="34" t="s">
        <v>276</v>
      </c>
      <c r="C143" s="34" t="s">
        <v>277</v>
      </c>
      <c r="D143" s="35" t="s">
        <v>278</v>
      </c>
      <c r="E143" s="35"/>
      <c r="F143" s="176">
        <v>1950</v>
      </c>
      <c r="G143" s="40"/>
      <c r="H143" s="176">
        <f t="shared" si="17"/>
        <v>3900</v>
      </c>
      <c r="I143" s="28">
        <v>3900</v>
      </c>
      <c r="J143" s="28">
        <f>+H143-I143</f>
        <v>0</v>
      </c>
      <c r="K143" s="286"/>
      <c r="L143" s="56">
        <f t="shared" si="19"/>
        <v>3900</v>
      </c>
      <c r="N143" s="1"/>
      <c r="O143" s="1"/>
      <c r="P143" s="1"/>
      <c r="Q143" s="1"/>
      <c r="R143" s="1"/>
      <c r="S143" s="1"/>
      <c r="T143" s="1"/>
      <c r="U143" s="1"/>
      <c r="AB143" s="1"/>
    </row>
    <row r="144" spans="1:28" ht="35.4" customHeight="1">
      <c r="A144" s="28">
        <v>10</v>
      </c>
      <c r="B144" s="34" t="s">
        <v>381</v>
      </c>
      <c r="C144" s="34" t="s">
        <v>64</v>
      </c>
      <c r="D144" s="35" t="s">
        <v>118</v>
      </c>
      <c r="E144" s="35"/>
      <c r="F144" s="176">
        <v>1000</v>
      </c>
      <c r="G144" s="80"/>
      <c r="H144" s="176">
        <f t="shared" si="17"/>
        <v>2000</v>
      </c>
      <c r="I144" s="28">
        <v>2000</v>
      </c>
      <c r="J144" s="28">
        <f t="shared" si="18"/>
        <v>0</v>
      </c>
      <c r="K144" s="286"/>
      <c r="L144" s="56">
        <f t="shared" si="19"/>
        <v>2000</v>
      </c>
      <c r="N144" s="1"/>
      <c r="O144" s="294"/>
      <c r="P144" s="1"/>
      <c r="Q144" s="1"/>
      <c r="R144" s="1"/>
      <c r="S144" s="1"/>
      <c r="T144" s="1"/>
      <c r="U144" s="1"/>
      <c r="AB144" s="1"/>
    </row>
    <row r="145" spans="1:28" ht="37.950000000000003" customHeight="1">
      <c r="A145" s="28">
        <v>11</v>
      </c>
      <c r="B145" s="5" t="s">
        <v>404</v>
      </c>
      <c r="C145" s="17" t="s">
        <v>405</v>
      </c>
      <c r="D145" s="37" t="s">
        <v>406</v>
      </c>
      <c r="E145" s="37"/>
      <c r="F145" s="176">
        <v>1950</v>
      </c>
      <c r="G145" s="20"/>
      <c r="H145" s="176">
        <f t="shared" si="17"/>
        <v>3900</v>
      </c>
      <c r="I145" s="28">
        <v>3900</v>
      </c>
      <c r="J145" s="28">
        <f t="shared" si="18"/>
        <v>0</v>
      </c>
      <c r="K145" s="286"/>
      <c r="L145" s="56">
        <f t="shared" si="19"/>
        <v>3900</v>
      </c>
      <c r="N145" s="1"/>
      <c r="O145" s="1"/>
      <c r="P145" s="1"/>
      <c r="Q145" s="1"/>
      <c r="R145" s="1"/>
      <c r="S145" s="1"/>
      <c r="T145" s="1"/>
      <c r="U145" s="1"/>
      <c r="AB145" s="1"/>
    </row>
    <row r="146" spans="1:28" ht="36" customHeight="1">
      <c r="A146" s="28">
        <v>12</v>
      </c>
      <c r="B146" s="34" t="s">
        <v>353</v>
      </c>
      <c r="C146" s="34" t="s">
        <v>354</v>
      </c>
      <c r="D146" s="35" t="s">
        <v>355</v>
      </c>
      <c r="E146" s="35"/>
      <c r="F146" s="176">
        <v>1950</v>
      </c>
      <c r="G146" s="40"/>
      <c r="H146" s="176">
        <f t="shared" si="17"/>
        <v>3900</v>
      </c>
      <c r="I146" s="28">
        <v>3900</v>
      </c>
      <c r="J146" s="28">
        <f t="shared" si="18"/>
        <v>0</v>
      </c>
      <c r="K146" s="286"/>
      <c r="L146" s="56">
        <f t="shared" si="19"/>
        <v>3900</v>
      </c>
      <c r="N146" s="1"/>
      <c r="O146" s="1"/>
      <c r="P146" s="1"/>
      <c r="Q146" s="1"/>
      <c r="R146" s="1"/>
      <c r="S146" s="1"/>
      <c r="T146" s="1"/>
      <c r="U146" s="1"/>
      <c r="AB146" s="1"/>
    </row>
    <row r="147" spans="1:28" ht="32.4" customHeight="1">
      <c r="A147" s="28">
        <v>13</v>
      </c>
      <c r="B147" s="34" t="s">
        <v>74</v>
      </c>
      <c r="C147" s="34" t="s">
        <v>507</v>
      </c>
      <c r="D147" s="35" t="s">
        <v>508</v>
      </c>
      <c r="E147" s="35" t="s">
        <v>509</v>
      </c>
      <c r="F147" s="176">
        <v>1950</v>
      </c>
      <c r="G147" s="80"/>
      <c r="H147" s="176">
        <f t="shared" si="17"/>
        <v>3900</v>
      </c>
      <c r="I147" s="28">
        <v>3900</v>
      </c>
      <c r="J147" s="28">
        <f t="shared" si="18"/>
        <v>0</v>
      </c>
      <c r="K147" s="28"/>
      <c r="L147" s="56">
        <f t="shared" si="19"/>
        <v>3900</v>
      </c>
      <c r="N147" s="1"/>
      <c r="O147" s="1"/>
      <c r="P147" s="1"/>
      <c r="Q147" s="1"/>
      <c r="R147" s="1"/>
      <c r="S147" s="1"/>
      <c r="T147" s="1"/>
      <c r="U147" s="1"/>
      <c r="AB147" s="1"/>
    </row>
    <row r="148" spans="1:28" ht="24" customHeight="1">
      <c r="A148" s="28">
        <v>14</v>
      </c>
      <c r="B148" s="34" t="s">
        <v>361</v>
      </c>
      <c r="C148" s="34" t="s">
        <v>365</v>
      </c>
      <c r="D148" s="35" t="s">
        <v>362</v>
      </c>
      <c r="E148" s="35"/>
      <c r="F148" s="176">
        <v>1950</v>
      </c>
      <c r="H148" s="176">
        <f t="shared" si="17"/>
        <v>3900</v>
      </c>
      <c r="I148" s="28">
        <v>3900</v>
      </c>
      <c r="J148" s="28">
        <f t="shared" si="18"/>
        <v>0</v>
      </c>
      <c r="K148" s="286"/>
      <c r="L148" s="56">
        <f t="shared" si="19"/>
        <v>3900</v>
      </c>
      <c r="N148" s="1"/>
      <c r="O148" s="1"/>
      <c r="P148" s="1"/>
      <c r="Q148" s="1"/>
      <c r="R148" s="1"/>
      <c r="S148" s="1"/>
      <c r="T148" s="1"/>
      <c r="U148" s="1"/>
      <c r="AB148" s="1"/>
    </row>
    <row r="149" spans="1:28" ht="17.399999999999999">
      <c r="A149" s="28">
        <v>15</v>
      </c>
      <c r="B149" s="34" t="s">
        <v>372</v>
      </c>
      <c r="C149" s="34" t="s">
        <v>363</v>
      </c>
      <c r="D149" s="35" t="s">
        <v>364</v>
      </c>
      <c r="E149" s="35"/>
      <c r="F149" s="176">
        <v>1950</v>
      </c>
      <c r="H149" s="176">
        <f t="shared" si="17"/>
        <v>3900</v>
      </c>
      <c r="I149" s="28">
        <v>3900</v>
      </c>
      <c r="J149" s="28">
        <f t="shared" si="18"/>
        <v>0</v>
      </c>
      <c r="K149" s="286"/>
      <c r="L149" s="56">
        <f t="shared" si="19"/>
        <v>3900</v>
      </c>
      <c r="N149" s="1"/>
      <c r="O149" s="1"/>
      <c r="P149" s="1"/>
      <c r="Q149" s="1"/>
      <c r="R149" s="1"/>
      <c r="S149" s="1"/>
      <c r="T149" s="1"/>
      <c r="U149" s="1"/>
      <c r="AB149" s="1"/>
    </row>
    <row r="150" spans="1:28" ht="15.6">
      <c r="A150" s="28">
        <v>16</v>
      </c>
      <c r="B150" s="34" t="s">
        <v>417</v>
      </c>
      <c r="C150" s="34" t="s">
        <v>418</v>
      </c>
      <c r="D150" s="35" t="s">
        <v>419</v>
      </c>
      <c r="E150" s="35"/>
      <c r="F150" s="176">
        <v>1950</v>
      </c>
      <c r="G150" s="80"/>
      <c r="H150" s="176">
        <f t="shared" si="17"/>
        <v>3900</v>
      </c>
      <c r="I150" s="28">
        <v>3900</v>
      </c>
      <c r="J150" s="28">
        <f t="shared" si="18"/>
        <v>0</v>
      </c>
      <c r="K150" s="28"/>
      <c r="L150" s="56">
        <f t="shared" si="19"/>
        <v>3900</v>
      </c>
      <c r="N150" s="1"/>
      <c r="O150" s="1"/>
      <c r="P150" s="1"/>
      <c r="Q150" s="1"/>
      <c r="R150" s="1"/>
      <c r="S150" s="1"/>
      <c r="T150" s="1"/>
      <c r="U150" s="1"/>
      <c r="AB150" s="1"/>
    </row>
    <row r="151" spans="1:28" ht="26.4">
      <c r="A151" s="28">
        <v>17</v>
      </c>
      <c r="B151" s="136" t="s">
        <v>386</v>
      </c>
      <c r="C151" s="136" t="s">
        <v>388</v>
      </c>
      <c r="D151" s="137" t="s">
        <v>389</v>
      </c>
      <c r="E151" s="137"/>
      <c r="F151" s="176">
        <v>1950</v>
      </c>
      <c r="G151" s="293"/>
      <c r="H151" s="176">
        <f t="shared" si="17"/>
        <v>3900</v>
      </c>
      <c r="I151" s="228">
        <v>1950</v>
      </c>
      <c r="J151" s="28">
        <f t="shared" si="18"/>
        <v>1950</v>
      </c>
      <c r="K151" s="295"/>
      <c r="L151" s="56">
        <f t="shared" si="19"/>
        <v>5850</v>
      </c>
      <c r="N151" s="1"/>
      <c r="O151" s="1"/>
      <c r="P151" s="1"/>
      <c r="Q151" s="1"/>
      <c r="R151" s="1"/>
      <c r="S151" s="1"/>
      <c r="T151" s="1"/>
      <c r="U151" s="1"/>
      <c r="AA151" s="1"/>
      <c r="AB151" s="1"/>
    </row>
    <row r="152" spans="1:28" ht="15.6" customHeight="1">
      <c r="A152" s="28">
        <v>18</v>
      </c>
      <c r="B152" s="136" t="s">
        <v>409</v>
      </c>
      <c r="C152" s="136"/>
      <c r="D152" s="73"/>
      <c r="E152" s="73"/>
      <c r="F152" s="176">
        <v>1950</v>
      </c>
      <c r="G152" s="293"/>
      <c r="H152" s="176">
        <f t="shared" si="17"/>
        <v>3900</v>
      </c>
      <c r="I152" s="228">
        <v>3900</v>
      </c>
      <c r="J152" s="28">
        <f t="shared" si="18"/>
        <v>0</v>
      </c>
      <c r="K152" s="228"/>
      <c r="L152" s="56">
        <f t="shared" si="19"/>
        <v>3900</v>
      </c>
      <c r="N152" s="1"/>
      <c r="O152" s="1"/>
      <c r="P152" s="1"/>
      <c r="Q152" s="1"/>
      <c r="R152" s="1"/>
      <c r="S152" s="1"/>
      <c r="T152" s="1"/>
      <c r="U152" s="1"/>
      <c r="AB152" s="1"/>
    </row>
    <row r="153" spans="1:28" ht="15.6">
      <c r="A153" s="28">
        <v>19</v>
      </c>
      <c r="B153" s="136" t="s">
        <v>734</v>
      </c>
      <c r="C153" s="136"/>
      <c r="D153" s="73"/>
      <c r="E153" s="73"/>
      <c r="F153" s="176">
        <v>1950</v>
      </c>
      <c r="G153" s="293"/>
      <c r="H153" s="176">
        <f t="shared" si="17"/>
        <v>3900</v>
      </c>
      <c r="I153" s="228">
        <v>3900</v>
      </c>
      <c r="J153" s="28">
        <f t="shared" si="18"/>
        <v>0</v>
      </c>
      <c r="K153" s="228"/>
      <c r="L153" s="56">
        <f t="shared" si="19"/>
        <v>3900</v>
      </c>
      <c r="N153" s="1"/>
      <c r="O153" s="1"/>
      <c r="P153" s="1"/>
      <c r="Q153" s="1"/>
      <c r="R153" s="1"/>
      <c r="S153" s="1"/>
      <c r="T153" s="1"/>
      <c r="U153" s="1"/>
      <c r="AA153" s="1"/>
      <c r="AB153" s="1"/>
    </row>
    <row r="154" spans="1:28" ht="17.399999999999999" customHeight="1">
      <c r="A154" s="28">
        <v>20</v>
      </c>
      <c r="B154" s="34" t="s">
        <v>810</v>
      </c>
      <c r="C154" s="34" t="s">
        <v>249</v>
      </c>
      <c r="D154" s="35" t="s">
        <v>250</v>
      </c>
      <c r="E154" s="35"/>
      <c r="F154" s="176">
        <v>1000</v>
      </c>
      <c r="G154" s="40"/>
      <c r="H154" s="176">
        <f t="shared" si="17"/>
        <v>2000</v>
      </c>
      <c r="I154" s="28">
        <v>2000</v>
      </c>
      <c r="J154" s="28">
        <f t="shared" si="18"/>
        <v>0</v>
      </c>
      <c r="K154" s="286"/>
      <c r="L154" s="56">
        <f t="shared" si="19"/>
        <v>2000</v>
      </c>
      <c r="N154" s="1"/>
      <c r="O154" s="1"/>
      <c r="P154" s="1"/>
      <c r="Q154" s="1"/>
      <c r="R154" s="1"/>
      <c r="S154" s="1"/>
      <c r="T154" s="1"/>
      <c r="U154" s="1"/>
      <c r="AA154" s="1"/>
      <c r="AB154" s="1"/>
    </row>
    <row r="155" spans="1:28" ht="17.399999999999999" customHeight="1">
      <c r="A155" s="28">
        <v>21</v>
      </c>
      <c r="B155" s="34" t="s">
        <v>319</v>
      </c>
      <c r="C155" s="34" t="s">
        <v>324</v>
      </c>
      <c r="D155" s="35" t="s">
        <v>325</v>
      </c>
      <c r="E155" s="35"/>
      <c r="F155" s="176">
        <v>1950</v>
      </c>
      <c r="G155" s="40"/>
      <c r="H155" s="176">
        <f t="shared" si="17"/>
        <v>3900</v>
      </c>
      <c r="I155" s="228">
        <v>3900</v>
      </c>
      <c r="J155" s="28">
        <f>+H155-I155</f>
        <v>0</v>
      </c>
      <c r="K155" s="286"/>
      <c r="L155" s="56">
        <f t="shared" si="19"/>
        <v>3900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7.399999999999999" customHeight="1">
      <c r="A156" s="28">
        <v>22</v>
      </c>
      <c r="B156" s="136" t="s">
        <v>265</v>
      </c>
      <c r="C156" s="136" t="s">
        <v>20</v>
      </c>
      <c r="D156" s="73" t="s">
        <v>266</v>
      </c>
      <c r="E156" s="73"/>
      <c r="F156" s="176">
        <v>1950</v>
      </c>
      <c r="G156" s="292"/>
      <c r="H156" s="176">
        <f t="shared" si="17"/>
        <v>3900</v>
      </c>
      <c r="I156" s="228">
        <v>3900</v>
      </c>
      <c r="J156" s="28">
        <f t="shared" si="18"/>
        <v>0</v>
      </c>
      <c r="K156" s="28"/>
      <c r="L156" s="56">
        <f t="shared" si="19"/>
        <v>3900</v>
      </c>
      <c r="N156" s="1"/>
      <c r="O156" s="1"/>
      <c r="P156" s="1"/>
      <c r="Q156" s="1"/>
      <c r="R156" s="1"/>
      <c r="S156" s="1"/>
      <c r="T156" s="1"/>
      <c r="U156" s="1"/>
      <c r="AA156" s="1"/>
      <c r="AB156" s="1"/>
    </row>
    <row r="157" spans="1:28" ht="17.399999999999999" customHeight="1">
      <c r="A157" s="28">
        <v>23</v>
      </c>
      <c r="B157" s="136" t="s">
        <v>945</v>
      </c>
      <c r="C157" s="136"/>
      <c r="D157" s="73"/>
      <c r="E157" s="73"/>
      <c r="F157" s="176">
        <v>1950</v>
      </c>
      <c r="G157" s="292"/>
      <c r="H157" s="176">
        <f t="shared" si="17"/>
        <v>3900</v>
      </c>
      <c r="I157" s="228">
        <v>3900</v>
      </c>
      <c r="J157" s="28">
        <f t="shared" si="18"/>
        <v>0</v>
      </c>
      <c r="K157" s="28"/>
      <c r="L157" s="56">
        <f t="shared" si="19"/>
        <v>3900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7.399999999999999" customHeight="1">
      <c r="A158" s="480" t="s">
        <v>3</v>
      </c>
      <c r="B158" s="481"/>
      <c r="C158" s="481"/>
      <c r="D158" s="482"/>
      <c r="E158" s="262"/>
      <c r="F158" s="57">
        <f>SUM(F135:F157)</f>
        <v>42000</v>
      </c>
      <c r="G158" s="80"/>
      <c r="H158" s="57">
        <f>SUM(H135:H157)</f>
        <v>84000</v>
      </c>
      <c r="I158" s="57">
        <f>SUM(I135:I157)</f>
        <v>82050</v>
      </c>
      <c r="J158" s="57">
        <f>SUM(J135:J157)</f>
        <v>1950</v>
      </c>
      <c r="K158" s="32"/>
      <c r="L158" s="56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7.399999999999999" customHeight="1">
      <c r="A159" s="40"/>
      <c r="B159" s="40"/>
      <c r="C159" s="40"/>
      <c r="D159" s="40"/>
      <c r="E159" s="40"/>
      <c r="F159" s="40"/>
      <c r="G159" s="296"/>
      <c r="H159" s="40"/>
      <c r="I159" s="40"/>
      <c r="J159" s="40"/>
      <c r="K159" s="40"/>
      <c r="L159" s="56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7.399999999999999" customHeight="1">
      <c r="A160" s="477" t="s">
        <v>879</v>
      </c>
      <c r="B160" s="478"/>
      <c r="C160" s="478"/>
      <c r="D160" s="478"/>
      <c r="E160" s="478"/>
      <c r="F160" s="478"/>
      <c r="G160" s="478"/>
      <c r="H160" s="478"/>
      <c r="I160" s="478"/>
      <c r="J160" s="478"/>
      <c r="K160" s="479"/>
      <c r="L160" s="5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7.399999999999999" customHeight="1">
      <c r="A161" s="106" t="s">
        <v>4</v>
      </c>
      <c r="B161" s="9" t="s">
        <v>6</v>
      </c>
      <c r="C161" s="106" t="s">
        <v>7</v>
      </c>
      <c r="D161" s="106" t="s">
        <v>0</v>
      </c>
      <c r="E161" s="106"/>
      <c r="F161" s="96" t="s">
        <v>5</v>
      </c>
      <c r="G161" s="98"/>
      <c r="H161" s="96" t="s">
        <v>190</v>
      </c>
      <c r="I161" s="96" t="s">
        <v>723</v>
      </c>
      <c r="J161" s="96" t="s">
        <v>58</v>
      </c>
      <c r="K161" s="97" t="s">
        <v>145</v>
      </c>
      <c r="L161" s="5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7.399999999999999">
      <c r="A162" s="28">
        <v>1</v>
      </c>
      <c r="B162" s="34" t="s">
        <v>215</v>
      </c>
      <c r="C162" s="34" t="s">
        <v>164</v>
      </c>
      <c r="D162" s="35" t="s">
        <v>193</v>
      </c>
      <c r="E162" s="35"/>
      <c r="F162" s="176">
        <v>1950</v>
      </c>
      <c r="G162" s="20"/>
      <c r="H162" s="176">
        <f t="shared" ref="H162:H178" si="20">+F162*2</f>
        <v>3900</v>
      </c>
      <c r="I162" s="28">
        <v>3900</v>
      </c>
      <c r="J162" s="28">
        <f t="shared" ref="J162:J178" si="21">+H162-I162</f>
        <v>0</v>
      </c>
      <c r="K162" s="286"/>
      <c r="L162" s="56">
        <f>+J162+(F162*2)</f>
        <v>3900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21.6" customHeight="1">
      <c r="A163" s="28">
        <v>2</v>
      </c>
      <c r="B163" s="34" t="s">
        <v>225</v>
      </c>
      <c r="C163" s="14" t="s">
        <v>158</v>
      </c>
      <c r="D163" s="35" t="s">
        <v>40</v>
      </c>
      <c r="E163" s="35"/>
      <c r="F163" s="176">
        <v>1950</v>
      </c>
      <c r="G163" s="20"/>
      <c r="H163" s="176">
        <f t="shared" si="20"/>
        <v>3900</v>
      </c>
      <c r="I163" s="28">
        <v>3900</v>
      </c>
      <c r="J163" s="28">
        <f t="shared" si="21"/>
        <v>0</v>
      </c>
      <c r="K163" s="286"/>
      <c r="L163" s="56">
        <f t="shared" ref="L163:L178" si="22">+J163+(F163*2)</f>
        <v>3900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21.6" customHeight="1">
      <c r="A164" s="28">
        <v>3</v>
      </c>
      <c r="B164" s="34" t="s">
        <v>169</v>
      </c>
      <c r="C164" s="34" t="s">
        <v>170</v>
      </c>
      <c r="D164" s="297" t="s">
        <v>168</v>
      </c>
      <c r="E164" s="79"/>
      <c r="F164" s="176">
        <v>1950</v>
      </c>
      <c r="G164" s="20"/>
      <c r="H164" s="176">
        <f t="shared" si="20"/>
        <v>3900</v>
      </c>
      <c r="I164" s="28">
        <v>3900</v>
      </c>
      <c r="J164" s="28">
        <f t="shared" si="21"/>
        <v>0</v>
      </c>
      <c r="K164" s="286"/>
      <c r="L164" s="56">
        <f t="shared" si="22"/>
        <v>3900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customHeight="1">
      <c r="A165" s="28">
        <v>4</v>
      </c>
      <c r="B165" s="34" t="s">
        <v>174</v>
      </c>
      <c r="C165" s="34" t="s">
        <v>73</v>
      </c>
      <c r="D165" s="35" t="s">
        <v>175</v>
      </c>
      <c r="E165" s="35"/>
      <c r="F165" s="176">
        <v>1950</v>
      </c>
      <c r="G165" s="20"/>
      <c r="H165" s="176">
        <f t="shared" si="20"/>
        <v>3900</v>
      </c>
      <c r="I165" s="28">
        <v>3900</v>
      </c>
      <c r="J165" s="28">
        <f t="shared" si="21"/>
        <v>0</v>
      </c>
      <c r="K165" s="286"/>
      <c r="L165" s="56">
        <f t="shared" si="22"/>
        <v>3900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26.4">
      <c r="A166" s="28">
        <v>5</v>
      </c>
      <c r="B166" s="34" t="s">
        <v>127</v>
      </c>
      <c r="C166" s="34" t="s">
        <v>191</v>
      </c>
      <c r="D166" s="297" t="s">
        <v>192</v>
      </c>
      <c r="E166" s="35"/>
      <c r="F166" s="176">
        <v>1950</v>
      </c>
      <c r="G166" s="20"/>
      <c r="H166" s="176">
        <f t="shared" si="20"/>
        <v>3900</v>
      </c>
      <c r="I166" s="28">
        <v>3900</v>
      </c>
      <c r="J166" s="28">
        <f t="shared" si="21"/>
        <v>0</v>
      </c>
      <c r="K166" s="286"/>
      <c r="L166" s="56">
        <f t="shared" si="22"/>
        <v>3900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7.399999999999999">
      <c r="A167" s="28">
        <v>6</v>
      </c>
      <c r="B167" s="34" t="s">
        <v>155</v>
      </c>
      <c r="C167" s="14" t="s">
        <v>156</v>
      </c>
      <c r="D167" s="35" t="s">
        <v>157</v>
      </c>
      <c r="E167" s="35"/>
      <c r="F167" s="176">
        <v>1950</v>
      </c>
      <c r="G167" s="20"/>
      <c r="H167" s="176">
        <f t="shared" si="20"/>
        <v>3900</v>
      </c>
      <c r="I167" s="28">
        <v>3900</v>
      </c>
      <c r="J167" s="28">
        <f t="shared" si="21"/>
        <v>0</v>
      </c>
      <c r="K167" s="286"/>
      <c r="L167" s="56">
        <f t="shared" si="22"/>
        <v>3900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29.4" customHeight="1">
      <c r="A168" s="28">
        <v>7</v>
      </c>
      <c r="B168" s="34" t="s">
        <v>176</v>
      </c>
      <c r="C168" s="34" t="s">
        <v>177</v>
      </c>
      <c r="D168" s="35" t="s">
        <v>178</v>
      </c>
      <c r="E168" s="35"/>
      <c r="F168" s="176">
        <v>1950</v>
      </c>
      <c r="G168" s="20"/>
      <c r="H168" s="176">
        <f t="shared" si="20"/>
        <v>3900</v>
      </c>
      <c r="I168" s="28">
        <v>3900</v>
      </c>
      <c r="J168" s="28">
        <f t="shared" si="21"/>
        <v>0</v>
      </c>
      <c r="K168" s="286"/>
      <c r="L168" s="56">
        <f t="shared" si="22"/>
        <v>3900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35.4" customHeight="1">
      <c r="A169" s="28">
        <v>8</v>
      </c>
      <c r="B169" s="34" t="s">
        <v>299</v>
      </c>
      <c r="C169" s="34" t="s">
        <v>300</v>
      </c>
      <c r="D169" s="103" t="s">
        <v>298</v>
      </c>
      <c r="E169" s="35"/>
      <c r="F169" s="176">
        <v>1950</v>
      </c>
      <c r="H169" s="176">
        <f t="shared" si="20"/>
        <v>3900</v>
      </c>
      <c r="I169" s="28">
        <v>3900</v>
      </c>
      <c r="J169" s="28">
        <f t="shared" si="21"/>
        <v>0</v>
      </c>
      <c r="K169" s="286"/>
      <c r="L169" s="56">
        <f t="shared" si="22"/>
        <v>3900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37.200000000000003" customHeight="1">
      <c r="A170" s="28">
        <v>9</v>
      </c>
      <c r="B170" s="34" t="s">
        <v>341</v>
      </c>
      <c r="C170" s="34" t="s">
        <v>342</v>
      </c>
      <c r="D170" s="78" t="s">
        <v>343</v>
      </c>
      <c r="E170" s="78"/>
      <c r="F170" s="176">
        <v>1950</v>
      </c>
      <c r="G170" s="20"/>
      <c r="H170" s="176">
        <f t="shared" si="20"/>
        <v>3900</v>
      </c>
      <c r="I170" s="28"/>
      <c r="J170" s="28">
        <f t="shared" si="21"/>
        <v>3900</v>
      </c>
      <c r="K170" s="286"/>
      <c r="L170" s="56">
        <f t="shared" si="22"/>
        <v>7800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32.4" customHeight="1">
      <c r="A171" s="28">
        <v>10</v>
      </c>
      <c r="B171" s="34" t="s">
        <v>344</v>
      </c>
      <c r="C171" s="34" t="s">
        <v>376</v>
      </c>
      <c r="D171" s="297" t="s">
        <v>377</v>
      </c>
      <c r="E171" s="78"/>
      <c r="F171" s="176">
        <v>1950</v>
      </c>
      <c r="G171" s="20"/>
      <c r="H171" s="176">
        <f t="shared" si="20"/>
        <v>3900</v>
      </c>
      <c r="I171" s="28">
        <v>3900</v>
      </c>
      <c r="J171" s="28">
        <f t="shared" si="21"/>
        <v>0</v>
      </c>
      <c r="K171" s="286"/>
      <c r="L171" s="56">
        <f t="shared" si="22"/>
        <v>3900</v>
      </c>
      <c r="M171" s="1"/>
      <c r="N171" s="4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32.4" customHeight="1">
      <c r="A172" s="28">
        <v>11</v>
      </c>
      <c r="B172" s="34" t="s">
        <v>163</v>
      </c>
      <c r="C172" s="34" t="s">
        <v>164</v>
      </c>
      <c r="D172" s="35" t="s">
        <v>165</v>
      </c>
      <c r="E172" s="35"/>
      <c r="F172" s="176">
        <v>1950</v>
      </c>
      <c r="G172" s="20"/>
      <c r="H172" s="176">
        <f t="shared" si="20"/>
        <v>3900</v>
      </c>
      <c r="I172" s="28">
        <v>3900</v>
      </c>
      <c r="J172" s="28">
        <f t="shared" si="21"/>
        <v>0</v>
      </c>
      <c r="K172" s="286"/>
      <c r="L172" s="56">
        <f t="shared" si="22"/>
        <v>3900</v>
      </c>
      <c r="N172" s="4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31.95" customHeight="1">
      <c r="A173" s="28">
        <v>12</v>
      </c>
      <c r="B173" s="34" t="s">
        <v>231</v>
      </c>
      <c r="C173" s="34" t="s">
        <v>236</v>
      </c>
      <c r="D173" s="35" t="s">
        <v>235</v>
      </c>
      <c r="E173" s="35"/>
      <c r="F173" s="176">
        <v>1950</v>
      </c>
      <c r="G173" s="20"/>
      <c r="H173" s="176">
        <f t="shared" si="20"/>
        <v>3900</v>
      </c>
      <c r="I173" s="28">
        <v>3900</v>
      </c>
      <c r="J173" s="28">
        <f t="shared" si="21"/>
        <v>0</v>
      </c>
      <c r="K173" s="286"/>
      <c r="L173" s="56">
        <f t="shared" si="22"/>
        <v>3900</v>
      </c>
      <c r="M173" s="44"/>
      <c r="N173" s="4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33.6" customHeight="1">
      <c r="A174" s="28">
        <v>13</v>
      </c>
      <c r="B174" s="34" t="s">
        <v>402</v>
      </c>
      <c r="C174" s="34" t="s">
        <v>78</v>
      </c>
      <c r="D174" s="298" t="s">
        <v>274</v>
      </c>
      <c r="E174" s="280"/>
      <c r="F174" s="176">
        <v>1950</v>
      </c>
      <c r="G174" s="20"/>
      <c r="H174" s="176">
        <f t="shared" si="20"/>
        <v>3900</v>
      </c>
      <c r="I174" s="28">
        <v>3900</v>
      </c>
      <c r="J174" s="28">
        <f t="shared" si="21"/>
        <v>0</v>
      </c>
      <c r="K174" s="286"/>
      <c r="L174" s="56">
        <f t="shared" si="22"/>
        <v>3900</v>
      </c>
      <c r="M174" s="44"/>
      <c r="N174" s="4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34.950000000000003" customHeight="1">
      <c r="A175" s="28">
        <v>14</v>
      </c>
      <c r="B175" s="34" t="s">
        <v>166</v>
      </c>
      <c r="C175" s="34" t="s">
        <v>167</v>
      </c>
      <c r="D175" s="297" t="s">
        <v>168</v>
      </c>
      <c r="E175" s="79"/>
      <c r="F175" s="176">
        <v>1950</v>
      </c>
      <c r="G175" s="20"/>
      <c r="H175" s="176">
        <f t="shared" si="20"/>
        <v>3900</v>
      </c>
      <c r="I175" s="28">
        <v>3900</v>
      </c>
      <c r="J175" s="28">
        <f t="shared" si="21"/>
        <v>0</v>
      </c>
      <c r="K175" s="286"/>
      <c r="L175" s="56">
        <f t="shared" si="22"/>
        <v>3900</v>
      </c>
      <c r="M175" s="44"/>
      <c r="N175" s="4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7.399999999999999" customHeight="1">
      <c r="A176" s="28">
        <v>15</v>
      </c>
      <c r="B176" s="34" t="s">
        <v>359</v>
      </c>
      <c r="C176" s="34" t="s">
        <v>249</v>
      </c>
      <c r="D176" s="103" t="s">
        <v>360</v>
      </c>
      <c r="E176" s="35"/>
      <c r="F176" s="176">
        <v>1000</v>
      </c>
      <c r="G176" s="20"/>
      <c r="H176" s="176">
        <f t="shared" si="20"/>
        <v>2000</v>
      </c>
      <c r="I176" s="28">
        <v>3900</v>
      </c>
      <c r="J176" s="28">
        <f t="shared" si="21"/>
        <v>-1900</v>
      </c>
      <c r="K176" s="286"/>
      <c r="L176" s="56">
        <f t="shared" si="22"/>
        <v>100</v>
      </c>
      <c r="M176" s="44"/>
      <c r="N176" s="4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34.950000000000003" customHeight="1">
      <c r="A177" s="28">
        <v>16</v>
      </c>
      <c r="B177" s="5" t="s">
        <v>422</v>
      </c>
      <c r="C177" s="34" t="s">
        <v>407</v>
      </c>
      <c r="D177" s="300" t="s">
        <v>408</v>
      </c>
      <c r="E177" s="300"/>
      <c r="F177" s="176">
        <v>1950</v>
      </c>
      <c r="H177" s="176">
        <f t="shared" si="20"/>
        <v>3900</v>
      </c>
      <c r="I177" s="28">
        <v>3900</v>
      </c>
      <c r="J177" s="28">
        <f t="shared" si="21"/>
        <v>0</v>
      </c>
      <c r="K177" s="13"/>
      <c r="L177" s="56">
        <f t="shared" si="22"/>
        <v>3900</v>
      </c>
      <c r="M177" s="44"/>
      <c r="N177" s="4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28.95" customHeight="1">
      <c r="A178" s="28">
        <v>17</v>
      </c>
      <c r="B178" s="34" t="s">
        <v>387</v>
      </c>
      <c r="C178" s="34" t="s">
        <v>388</v>
      </c>
      <c r="D178" s="297" t="s">
        <v>389</v>
      </c>
      <c r="E178" s="35"/>
      <c r="F178" s="176">
        <v>1950</v>
      </c>
      <c r="G178" s="20"/>
      <c r="H178" s="176">
        <f t="shared" si="20"/>
        <v>3900</v>
      </c>
      <c r="I178" s="28">
        <v>1950</v>
      </c>
      <c r="J178" s="28">
        <f t="shared" si="21"/>
        <v>1950</v>
      </c>
      <c r="K178" s="286"/>
      <c r="L178" s="56">
        <f t="shared" si="22"/>
        <v>5850</v>
      </c>
      <c r="M178" s="44"/>
      <c r="N178" s="4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43.2" customHeight="1">
      <c r="A179" s="480" t="s">
        <v>3</v>
      </c>
      <c r="B179" s="481"/>
      <c r="C179" s="481"/>
      <c r="D179" s="482"/>
      <c r="E179" s="262"/>
      <c r="F179" s="57">
        <f>SUM(F162:F178)</f>
        <v>32200</v>
      </c>
      <c r="G179" s="57"/>
      <c r="H179" s="57">
        <f>SUM(H162:H178)</f>
        <v>64400</v>
      </c>
      <c r="I179" s="57">
        <f>SUM(I162:I178)</f>
        <v>60450</v>
      </c>
      <c r="J179" s="57">
        <f>SUM(J162:J178)</f>
        <v>3950</v>
      </c>
      <c r="K179" s="301"/>
      <c r="L179" s="44"/>
      <c r="M179" s="44"/>
      <c r="N179" s="4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41.4" customHeight="1">
      <c r="A180" s="477" t="s">
        <v>880</v>
      </c>
      <c r="B180" s="478"/>
      <c r="C180" s="478"/>
      <c r="D180" s="478"/>
      <c r="E180" s="478"/>
      <c r="F180" s="478"/>
      <c r="G180" s="478"/>
      <c r="H180" s="478"/>
      <c r="I180" s="478"/>
      <c r="J180" s="478"/>
      <c r="K180" s="479"/>
      <c r="L180" s="44"/>
      <c r="M180" s="44"/>
      <c r="N180" s="4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46.95" customHeight="1">
      <c r="A181" s="106" t="s">
        <v>4</v>
      </c>
      <c r="B181" s="9" t="s">
        <v>6</v>
      </c>
      <c r="C181" s="106" t="s">
        <v>7</v>
      </c>
      <c r="D181" s="9" t="s">
        <v>0</v>
      </c>
      <c r="E181" s="9"/>
      <c r="F181" s="96" t="s">
        <v>5</v>
      </c>
      <c r="G181" s="98"/>
      <c r="H181" s="96" t="s">
        <v>190</v>
      </c>
      <c r="I181" s="96" t="s">
        <v>723</v>
      </c>
      <c r="J181" s="96" t="s">
        <v>58</v>
      </c>
      <c r="K181" s="97" t="s">
        <v>145</v>
      </c>
      <c r="L181" s="44"/>
      <c r="M181" s="44"/>
      <c r="N181" s="4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45.6" customHeight="1">
      <c r="A182" s="28">
        <v>1</v>
      </c>
      <c r="B182" s="34" t="s">
        <v>216</v>
      </c>
      <c r="C182" s="34" t="s">
        <v>220</v>
      </c>
      <c r="D182" s="35" t="s">
        <v>221</v>
      </c>
      <c r="E182" s="182"/>
      <c r="F182" s="176">
        <v>1950</v>
      </c>
      <c r="G182" s="20"/>
      <c r="H182" s="176">
        <f t="shared" ref="H182:H196" si="23">+F182*2</f>
        <v>3900</v>
      </c>
      <c r="I182" s="124">
        <v>3900</v>
      </c>
      <c r="J182" s="28">
        <f t="shared" ref="J182:J196" si="24">+H182-I182</f>
        <v>0</v>
      </c>
      <c r="K182" s="286"/>
      <c r="L182" s="44">
        <f>+J182+F182*2</f>
        <v>3900</v>
      </c>
      <c r="M182" s="44"/>
      <c r="N182" s="4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33" customHeight="1">
      <c r="A183" s="28">
        <v>2</v>
      </c>
      <c r="B183" s="34" t="s">
        <v>305</v>
      </c>
      <c r="C183" s="34" t="s">
        <v>306</v>
      </c>
      <c r="D183" s="35" t="s">
        <v>307</v>
      </c>
      <c r="E183" s="182"/>
      <c r="F183" s="176">
        <v>1950</v>
      </c>
      <c r="G183" s="20"/>
      <c r="H183" s="176">
        <f t="shared" si="23"/>
        <v>3900</v>
      </c>
      <c r="I183" s="124">
        <v>3900</v>
      </c>
      <c r="J183" s="28">
        <f t="shared" si="24"/>
        <v>0</v>
      </c>
      <c r="K183" s="286"/>
      <c r="L183" s="44">
        <f t="shared" ref="L183:L196" si="25">+J183+F183*2</f>
        <v>3900</v>
      </c>
      <c r="M183" s="44"/>
      <c r="N183" s="4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24" customHeight="1">
      <c r="A184" s="28">
        <v>3</v>
      </c>
      <c r="B184" s="34" t="s">
        <v>350</v>
      </c>
      <c r="C184" s="34" t="s">
        <v>322</v>
      </c>
      <c r="D184" s="35" t="s">
        <v>323</v>
      </c>
      <c r="E184" s="182"/>
      <c r="F184" s="176">
        <v>1950</v>
      </c>
      <c r="G184" s="20"/>
      <c r="H184" s="176">
        <f t="shared" si="23"/>
        <v>3900</v>
      </c>
      <c r="I184" s="124">
        <v>3900</v>
      </c>
      <c r="J184" s="28">
        <f t="shared" si="24"/>
        <v>0</v>
      </c>
      <c r="K184" s="286"/>
      <c r="L184" s="44">
        <f t="shared" si="25"/>
        <v>3900</v>
      </c>
      <c r="M184" s="4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28">
        <v>4</v>
      </c>
      <c r="B185" s="136" t="s">
        <v>227</v>
      </c>
      <c r="C185" s="34" t="s">
        <v>67</v>
      </c>
      <c r="D185" s="35" t="s">
        <v>228</v>
      </c>
      <c r="E185" s="183"/>
      <c r="F185" s="176">
        <v>1000</v>
      </c>
      <c r="G185" s="20"/>
      <c r="H185" s="176">
        <f t="shared" si="23"/>
        <v>2000</v>
      </c>
      <c r="I185" s="124">
        <v>200</v>
      </c>
      <c r="J185" s="28">
        <f t="shared" si="24"/>
        <v>1800</v>
      </c>
      <c r="K185" s="286"/>
      <c r="L185" s="44">
        <f t="shared" si="25"/>
        <v>3800</v>
      </c>
      <c r="M185" s="4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9.2" customHeight="1">
      <c r="A186" s="28">
        <v>5</v>
      </c>
      <c r="B186" s="5" t="s">
        <v>97</v>
      </c>
      <c r="C186" s="34" t="s">
        <v>370</v>
      </c>
      <c r="D186" s="35" t="s">
        <v>371</v>
      </c>
      <c r="E186" s="179"/>
      <c r="F186" s="176">
        <v>1950</v>
      </c>
      <c r="H186" s="176">
        <f t="shared" si="23"/>
        <v>3900</v>
      </c>
      <c r="I186" s="124">
        <v>3900</v>
      </c>
      <c r="J186" s="28">
        <f t="shared" si="24"/>
        <v>0</v>
      </c>
      <c r="K186" s="13"/>
      <c r="L186" s="44">
        <f t="shared" si="25"/>
        <v>3900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9.2" customHeight="1">
      <c r="A187" s="28">
        <v>6</v>
      </c>
      <c r="B187" s="34" t="s">
        <v>188</v>
      </c>
      <c r="C187" s="34" t="s">
        <v>189</v>
      </c>
      <c r="D187" s="35" t="s">
        <v>187</v>
      </c>
      <c r="E187" s="182"/>
      <c r="F187" s="176">
        <v>1950</v>
      </c>
      <c r="G187" s="20"/>
      <c r="H187" s="176">
        <f t="shared" si="23"/>
        <v>3900</v>
      </c>
      <c r="I187" s="124">
        <v>3900</v>
      </c>
      <c r="J187" s="28">
        <f t="shared" si="24"/>
        <v>0</v>
      </c>
      <c r="K187" s="286"/>
      <c r="L187" s="44">
        <f t="shared" si="25"/>
        <v>3900</v>
      </c>
      <c r="N187" s="44"/>
      <c r="O187" s="44"/>
      <c r="P187" s="44"/>
      <c r="Q187" s="4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9.2" customHeight="1">
      <c r="A188" s="28">
        <v>7</v>
      </c>
      <c r="B188" s="34" t="s">
        <v>41</v>
      </c>
      <c r="C188" s="34" t="s">
        <v>249</v>
      </c>
      <c r="D188" s="103" t="s">
        <v>360</v>
      </c>
      <c r="E188" s="182"/>
      <c r="F188" s="176">
        <v>0</v>
      </c>
      <c r="G188" s="20"/>
      <c r="H188" s="176">
        <f t="shared" si="23"/>
        <v>0</v>
      </c>
      <c r="I188" s="124">
        <v>0</v>
      </c>
      <c r="J188" s="28">
        <f t="shared" si="24"/>
        <v>0</v>
      </c>
      <c r="K188" s="286"/>
      <c r="L188" s="44">
        <f t="shared" si="25"/>
        <v>0</v>
      </c>
      <c r="M188" s="1"/>
      <c r="N188" s="44"/>
      <c r="O188" s="44"/>
      <c r="P188" s="44"/>
      <c r="Q188" s="4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28">
        <v>8</v>
      </c>
      <c r="B189" s="34" t="s">
        <v>349</v>
      </c>
      <c r="C189" s="34" t="s">
        <v>9</v>
      </c>
      <c r="D189" s="35" t="s">
        <v>10</v>
      </c>
      <c r="E189" s="182"/>
      <c r="F189" s="176">
        <v>1000</v>
      </c>
      <c r="G189" s="20"/>
      <c r="H189" s="176">
        <f t="shared" si="23"/>
        <v>2000</v>
      </c>
      <c r="I189" s="124">
        <v>2000</v>
      </c>
      <c r="J189" s="28">
        <f t="shared" si="24"/>
        <v>0</v>
      </c>
      <c r="K189" s="286"/>
      <c r="L189" s="44">
        <f t="shared" si="25"/>
        <v>2000</v>
      </c>
      <c r="M189" s="8"/>
      <c r="N189" s="44"/>
      <c r="O189" s="44"/>
      <c r="P189" s="44"/>
      <c r="Q189" s="4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28">
        <v>9</v>
      </c>
      <c r="B190" s="34" t="s">
        <v>315</v>
      </c>
      <c r="C190" s="34" t="s">
        <v>69</v>
      </c>
      <c r="D190" s="297" t="s">
        <v>316</v>
      </c>
      <c r="E190" s="182"/>
      <c r="F190" s="176">
        <v>1950</v>
      </c>
      <c r="G190" s="20"/>
      <c r="H190" s="176">
        <f t="shared" si="23"/>
        <v>3900</v>
      </c>
      <c r="I190" s="124">
        <v>3900</v>
      </c>
      <c r="J190" s="28">
        <f t="shared" si="24"/>
        <v>0</v>
      </c>
      <c r="K190" s="286"/>
      <c r="L190" s="44">
        <f t="shared" si="25"/>
        <v>3900</v>
      </c>
      <c r="M190" s="44"/>
      <c r="N190" s="44"/>
      <c r="O190" s="44"/>
      <c r="P190" s="44"/>
      <c r="Q190" s="4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28">
        <v>10</v>
      </c>
      <c r="B191" s="34" t="s">
        <v>148</v>
      </c>
      <c r="C191" s="34" t="s">
        <v>184</v>
      </c>
      <c r="D191" s="35" t="s">
        <v>219</v>
      </c>
      <c r="E191" s="182"/>
      <c r="F191" s="176">
        <v>1950</v>
      </c>
      <c r="G191" s="20"/>
      <c r="H191" s="176">
        <f t="shared" si="23"/>
        <v>3900</v>
      </c>
      <c r="I191" s="124">
        <v>3900</v>
      </c>
      <c r="J191" s="28">
        <f t="shared" si="24"/>
        <v>0</v>
      </c>
      <c r="K191" s="286"/>
      <c r="L191" s="44">
        <f t="shared" si="25"/>
        <v>3900</v>
      </c>
      <c r="M191" s="44"/>
      <c r="N191" s="44"/>
      <c r="O191" s="44"/>
      <c r="P191" s="44"/>
      <c r="Q191" s="4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28">
        <v>11</v>
      </c>
      <c r="B192" s="34" t="s">
        <v>214</v>
      </c>
      <c r="C192" s="34" t="s">
        <v>50</v>
      </c>
      <c r="D192" s="35" t="s">
        <v>51</v>
      </c>
      <c r="E192" s="182"/>
      <c r="F192" s="176">
        <v>1950</v>
      </c>
      <c r="G192" s="20"/>
      <c r="H192" s="176">
        <f t="shared" si="23"/>
        <v>3900</v>
      </c>
      <c r="I192" s="124">
        <v>3900</v>
      </c>
      <c r="J192" s="28">
        <f t="shared" si="24"/>
        <v>0</v>
      </c>
      <c r="K192" s="286"/>
      <c r="L192" s="44">
        <f t="shared" si="25"/>
        <v>3900</v>
      </c>
      <c r="M192" s="44"/>
      <c r="N192" s="44"/>
      <c r="O192" s="44"/>
      <c r="P192" s="44"/>
      <c r="Q192" s="4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28">
        <v>12</v>
      </c>
      <c r="B193" s="139" t="s">
        <v>378</v>
      </c>
      <c r="C193" s="139" t="s">
        <v>379</v>
      </c>
      <c r="D193" s="302" t="s">
        <v>380</v>
      </c>
      <c r="E193" s="184"/>
      <c r="F193" s="176">
        <v>1950</v>
      </c>
      <c r="H193" s="176">
        <f t="shared" si="23"/>
        <v>3900</v>
      </c>
      <c r="I193" s="124">
        <v>1950</v>
      </c>
      <c r="J193" s="28">
        <f t="shared" si="24"/>
        <v>1950</v>
      </c>
      <c r="K193" s="25"/>
      <c r="L193" s="44">
        <f t="shared" si="25"/>
        <v>5850</v>
      </c>
      <c r="M193" s="44"/>
      <c r="N193" s="44"/>
      <c r="O193" s="44"/>
      <c r="P193" s="44"/>
      <c r="Q193" s="4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28">
        <v>13</v>
      </c>
      <c r="B194" s="34" t="s">
        <v>374</v>
      </c>
      <c r="C194" s="34" t="s">
        <v>351</v>
      </c>
      <c r="D194" s="35" t="s">
        <v>375</v>
      </c>
      <c r="E194" s="182"/>
      <c r="F194" s="176">
        <v>1950</v>
      </c>
      <c r="G194" s="20"/>
      <c r="H194" s="176">
        <f t="shared" si="23"/>
        <v>3900</v>
      </c>
      <c r="I194" s="124">
        <v>3900</v>
      </c>
      <c r="J194" s="28">
        <f t="shared" si="24"/>
        <v>0</v>
      </c>
      <c r="K194" s="286"/>
      <c r="L194" s="44">
        <f t="shared" si="25"/>
        <v>3900</v>
      </c>
      <c r="M194" s="44"/>
      <c r="N194" s="44"/>
      <c r="O194" s="44"/>
      <c r="P194" s="44"/>
      <c r="Q194" s="4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28">
        <v>14</v>
      </c>
      <c r="B195" s="34" t="s">
        <v>722</v>
      </c>
      <c r="C195" s="34"/>
      <c r="D195" s="35"/>
      <c r="E195" s="182"/>
      <c r="F195" s="176">
        <v>0</v>
      </c>
      <c r="G195" s="20"/>
      <c r="H195" s="176">
        <f t="shared" si="23"/>
        <v>0</v>
      </c>
      <c r="I195" s="124">
        <v>0</v>
      </c>
      <c r="J195" s="28">
        <f t="shared" si="24"/>
        <v>0</v>
      </c>
      <c r="K195" s="286"/>
      <c r="L195" s="44">
        <f t="shared" si="25"/>
        <v>0</v>
      </c>
      <c r="M195" s="44"/>
      <c r="N195" s="44"/>
      <c r="O195" s="44"/>
      <c r="P195" s="44"/>
      <c r="Q195" s="44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8" ht="15.75" customHeight="1">
      <c r="A196" s="28">
        <v>15</v>
      </c>
      <c r="B196" s="34" t="s">
        <v>154</v>
      </c>
      <c r="C196" s="34"/>
      <c r="D196" s="303"/>
      <c r="E196" s="182"/>
      <c r="F196" s="176">
        <v>1950</v>
      </c>
      <c r="G196" s="20"/>
      <c r="H196" s="176">
        <f t="shared" si="23"/>
        <v>3900</v>
      </c>
      <c r="I196" s="124">
        <v>3900</v>
      </c>
      <c r="J196" s="28">
        <f t="shared" si="24"/>
        <v>0</v>
      </c>
      <c r="K196" s="286"/>
      <c r="L196" s="44">
        <f t="shared" si="25"/>
        <v>3900</v>
      </c>
      <c r="M196" s="44"/>
      <c r="N196" s="44"/>
      <c r="O196" s="44"/>
      <c r="P196" s="44"/>
      <c r="Q196" s="44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8" ht="15.75" customHeight="1">
      <c r="A197" s="480" t="s">
        <v>3</v>
      </c>
      <c r="B197" s="481"/>
      <c r="C197" s="481"/>
      <c r="D197" s="482"/>
      <c r="E197" s="262"/>
      <c r="F197" s="57">
        <f>SUM(F182:F196)</f>
        <v>23450</v>
      </c>
      <c r="G197" s="57"/>
      <c r="H197" s="57">
        <f>SUM(H182:H196)</f>
        <v>46900</v>
      </c>
      <c r="I197" s="57">
        <f>SUM(I182:I196)</f>
        <v>43150</v>
      </c>
      <c r="J197" s="57">
        <f>SUM(J182:J196)</f>
        <v>3750</v>
      </c>
      <c r="K197" s="304"/>
      <c r="L197" s="87"/>
      <c r="M197" s="44"/>
      <c r="N197" s="44"/>
      <c r="O197" s="44"/>
      <c r="P197" s="44"/>
      <c r="Q197" s="44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8" ht="15.75" customHeight="1">
      <c r="A198" s="40"/>
      <c r="B198" s="40"/>
      <c r="C198" s="40"/>
      <c r="D198" s="40"/>
      <c r="E198" s="40"/>
      <c r="F198" s="40"/>
      <c r="G198" s="20"/>
      <c r="H198" s="40"/>
      <c r="I198" s="80"/>
      <c r="J198" s="305"/>
      <c r="K198" s="45"/>
      <c r="L198" s="87"/>
      <c r="M198" s="44"/>
      <c r="N198" s="44"/>
      <c r="O198" s="44"/>
      <c r="P198" s="44"/>
      <c r="Q198" s="44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8" ht="13.2" customHeight="1">
      <c r="A199" s="488" t="s">
        <v>33</v>
      </c>
      <c r="B199" s="489"/>
      <c r="C199" s="489"/>
      <c r="D199" s="489"/>
      <c r="E199" s="489"/>
      <c r="F199" s="489"/>
      <c r="G199" s="489"/>
      <c r="H199" s="489"/>
      <c r="I199" s="489"/>
      <c r="J199" s="489"/>
      <c r="K199" s="490"/>
      <c r="L199" s="87"/>
      <c r="M199" s="44"/>
      <c r="N199" s="44"/>
      <c r="O199" s="44"/>
      <c r="P199" s="44"/>
      <c r="Q199" s="44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8" ht="13.2" customHeight="1">
      <c r="A200" s="106" t="s">
        <v>4</v>
      </c>
      <c r="B200" s="9" t="s">
        <v>6</v>
      </c>
      <c r="C200" s="106" t="s">
        <v>7</v>
      </c>
      <c r="D200" s="106" t="s">
        <v>0</v>
      </c>
      <c r="E200" s="106"/>
      <c r="F200" s="96" t="s">
        <v>5</v>
      </c>
      <c r="G200" s="108"/>
      <c r="H200" s="96" t="s">
        <v>190</v>
      </c>
      <c r="I200" s="96" t="s">
        <v>723</v>
      </c>
      <c r="J200" s="96" t="s">
        <v>58</v>
      </c>
      <c r="K200" s="97" t="s">
        <v>145</v>
      </c>
      <c r="L200" s="87"/>
      <c r="M200" s="44"/>
      <c r="N200" s="44"/>
      <c r="O200" s="44"/>
      <c r="P200" s="44"/>
      <c r="Q200" s="44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8" ht="13.2" customHeight="1">
      <c r="A201" s="33">
        <v>1</v>
      </c>
      <c r="B201" s="5" t="s">
        <v>123</v>
      </c>
      <c r="C201" s="15" t="s">
        <v>132</v>
      </c>
      <c r="D201" s="37" t="s">
        <v>194</v>
      </c>
      <c r="E201" s="179"/>
      <c r="F201" s="220">
        <v>1950</v>
      </c>
      <c r="G201" s="20"/>
      <c r="H201" s="176">
        <f t="shared" ref="H201:H229" si="26">+F201*2</f>
        <v>3900</v>
      </c>
      <c r="I201" s="229"/>
      <c r="J201" s="18">
        <f>+H201-I201</f>
        <v>3900</v>
      </c>
      <c r="K201" s="82"/>
      <c r="L201" s="87">
        <f>+J201+F201*2</f>
        <v>7800</v>
      </c>
      <c r="M201" s="44"/>
      <c r="N201" s="44"/>
      <c r="O201" s="44"/>
      <c r="P201" s="44"/>
      <c r="Q201" s="44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8" ht="13.2" customHeight="1">
      <c r="A202" s="33">
        <v>2</v>
      </c>
      <c r="B202" s="5" t="s">
        <v>124</v>
      </c>
      <c r="C202" s="15" t="s">
        <v>63</v>
      </c>
      <c r="D202" s="37" t="s">
        <v>144</v>
      </c>
      <c r="E202" s="179"/>
      <c r="F202" s="220">
        <v>0</v>
      </c>
      <c r="G202" s="20"/>
      <c r="H202" s="176">
        <f t="shared" si="26"/>
        <v>0</v>
      </c>
      <c r="I202" s="229">
        <v>0</v>
      </c>
      <c r="J202" s="18">
        <f t="shared" ref="J202:J229" si="27">+H202-I202</f>
        <v>0</v>
      </c>
      <c r="K202" s="82"/>
      <c r="L202" s="87">
        <f t="shared" ref="L202:L229" si="28">+J202+F202*2</f>
        <v>0</v>
      </c>
      <c r="M202" s="44"/>
      <c r="N202" s="44"/>
      <c r="O202" s="44"/>
      <c r="P202" s="44"/>
      <c r="Q202" s="44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8" ht="13.2" customHeight="1">
      <c r="A203" s="33">
        <v>3</v>
      </c>
      <c r="B203" s="5" t="s">
        <v>109</v>
      </c>
      <c r="C203" s="15" t="s">
        <v>110</v>
      </c>
      <c r="D203" s="37" t="s">
        <v>195</v>
      </c>
      <c r="E203" s="179"/>
      <c r="F203" s="220">
        <v>1950</v>
      </c>
      <c r="G203" s="20"/>
      <c r="H203" s="176">
        <f t="shared" si="26"/>
        <v>3900</v>
      </c>
      <c r="I203" s="229">
        <v>3900</v>
      </c>
      <c r="J203" s="18">
        <f t="shared" si="27"/>
        <v>0</v>
      </c>
      <c r="K203" s="82"/>
      <c r="L203" s="87">
        <f t="shared" si="28"/>
        <v>3900</v>
      </c>
      <c r="M203" s="44"/>
      <c r="N203" s="44"/>
      <c r="O203" s="44"/>
      <c r="P203" s="44"/>
      <c r="Q203" s="44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8" ht="13.2" customHeight="1">
      <c r="A204" s="33">
        <v>4</v>
      </c>
      <c r="B204" s="17" t="s">
        <v>179</v>
      </c>
      <c r="C204" s="19" t="s">
        <v>180</v>
      </c>
      <c r="D204" s="78" t="s">
        <v>181</v>
      </c>
      <c r="E204" s="195"/>
      <c r="F204" s="220">
        <v>1950</v>
      </c>
      <c r="G204" s="20"/>
      <c r="H204" s="176">
        <f t="shared" si="26"/>
        <v>3900</v>
      </c>
      <c r="I204" s="229">
        <v>3900</v>
      </c>
      <c r="J204" s="18">
        <f t="shared" si="27"/>
        <v>0</v>
      </c>
      <c r="K204" s="82"/>
      <c r="L204" s="87">
        <f t="shared" si="28"/>
        <v>3900</v>
      </c>
      <c r="M204" s="44"/>
      <c r="N204" s="44"/>
      <c r="O204" s="44"/>
      <c r="P204" s="44"/>
      <c r="Q204" s="44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8" ht="13.2" customHeight="1">
      <c r="A205" s="33">
        <v>5</v>
      </c>
      <c r="B205" s="5" t="s">
        <v>125</v>
      </c>
      <c r="C205" s="15" t="s">
        <v>126</v>
      </c>
      <c r="D205" s="37" t="s">
        <v>196</v>
      </c>
      <c r="E205" s="179"/>
      <c r="F205" s="194">
        <v>0</v>
      </c>
      <c r="G205" s="20"/>
      <c r="H205" s="176">
        <f t="shared" si="26"/>
        <v>0</v>
      </c>
      <c r="I205" s="125">
        <v>0</v>
      </c>
      <c r="J205" s="18">
        <f t="shared" si="27"/>
        <v>0</v>
      </c>
      <c r="K205" s="82"/>
      <c r="L205" s="87">
        <f t="shared" si="28"/>
        <v>0</v>
      </c>
      <c r="M205" s="44"/>
      <c r="N205" s="44"/>
      <c r="O205" s="44"/>
      <c r="P205" s="44"/>
      <c r="Q205" s="44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8" ht="13.2" customHeight="1">
      <c r="A206" s="33">
        <v>6</v>
      </c>
      <c r="B206" s="5" t="s">
        <v>135</v>
      </c>
      <c r="C206" s="15" t="s">
        <v>136</v>
      </c>
      <c r="D206" s="37" t="s">
        <v>197</v>
      </c>
      <c r="E206" s="179"/>
      <c r="F206" s="194">
        <v>1950</v>
      </c>
      <c r="G206" s="20"/>
      <c r="H206" s="176">
        <f t="shared" si="26"/>
        <v>3900</v>
      </c>
      <c r="I206" s="125">
        <v>3900</v>
      </c>
      <c r="J206" s="18">
        <f t="shared" si="27"/>
        <v>0</v>
      </c>
      <c r="K206" s="82"/>
      <c r="L206" s="87">
        <f t="shared" si="28"/>
        <v>3900</v>
      </c>
      <c r="M206" s="44"/>
      <c r="N206" s="44"/>
      <c r="O206" s="44"/>
      <c r="P206" s="44"/>
      <c r="Q206" s="44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8" ht="13.2" customHeight="1">
      <c r="A207" s="33">
        <v>7</v>
      </c>
      <c r="B207" s="5" t="s">
        <v>128</v>
      </c>
      <c r="C207" s="15" t="s">
        <v>134</v>
      </c>
      <c r="D207" s="37" t="s">
        <v>186</v>
      </c>
      <c r="E207" s="179"/>
      <c r="F207" s="194">
        <v>1950</v>
      </c>
      <c r="G207" s="20"/>
      <c r="H207" s="176">
        <f t="shared" si="26"/>
        <v>3900</v>
      </c>
      <c r="I207" s="125">
        <v>3900</v>
      </c>
      <c r="J207" s="18">
        <f t="shared" si="27"/>
        <v>0</v>
      </c>
      <c r="K207" s="306"/>
      <c r="L207" s="87">
        <f t="shared" si="28"/>
        <v>3900</v>
      </c>
      <c r="M207" s="44"/>
      <c r="N207" s="44"/>
      <c r="O207" s="44"/>
      <c r="P207" s="44"/>
      <c r="Q207" s="44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8" ht="13.2" customHeight="1">
      <c r="A208" s="33">
        <v>8</v>
      </c>
      <c r="B208" s="5" t="s">
        <v>129</v>
      </c>
      <c r="C208" s="15" t="s">
        <v>137</v>
      </c>
      <c r="D208" s="307" t="s">
        <v>198</v>
      </c>
      <c r="E208" s="179"/>
      <c r="F208" s="194">
        <v>1950</v>
      </c>
      <c r="G208" s="20"/>
      <c r="H208" s="176">
        <f t="shared" si="26"/>
        <v>3900</v>
      </c>
      <c r="I208" s="125">
        <v>3900</v>
      </c>
      <c r="J208" s="18">
        <f t="shared" si="27"/>
        <v>0</v>
      </c>
      <c r="K208" s="82"/>
      <c r="L208" s="87">
        <f t="shared" si="28"/>
        <v>3900</v>
      </c>
      <c r="M208" s="44"/>
      <c r="N208" s="44"/>
      <c r="O208" s="44"/>
      <c r="P208" s="44"/>
      <c r="Q208" s="44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customHeight="1">
      <c r="A209" s="33">
        <v>9</v>
      </c>
      <c r="B209" s="5" t="s">
        <v>130</v>
      </c>
      <c r="C209" s="19" t="s">
        <v>94</v>
      </c>
      <c r="D209" s="307" t="s">
        <v>199</v>
      </c>
      <c r="E209" s="179"/>
      <c r="F209" s="194">
        <v>1950</v>
      </c>
      <c r="G209" s="20"/>
      <c r="H209" s="176">
        <f t="shared" si="26"/>
        <v>3900</v>
      </c>
      <c r="I209" s="125">
        <v>3900</v>
      </c>
      <c r="J209" s="18">
        <f t="shared" si="27"/>
        <v>0</v>
      </c>
      <c r="K209" s="82"/>
      <c r="L209" s="87">
        <f t="shared" si="28"/>
        <v>3900</v>
      </c>
      <c r="M209" s="44"/>
      <c r="N209" s="44"/>
      <c r="O209" s="44"/>
      <c r="P209" s="44"/>
      <c r="Q209" s="44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customHeight="1">
      <c r="A210" s="33">
        <v>10</v>
      </c>
      <c r="B210" s="5" t="s">
        <v>114</v>
      </c>
      <c r="C210" s="15" t="s">
        <v>76</v>
      </c>
      <c r="D210" s="81" t="s">
        <v>77</v>
      </c>
      <c r="E210" s="179"/>
      <c r="F210" s="194">
        <v>0</v>
      </c>
      <c r="G210" s="20"/>
      <c r="H210" s="176">
        <f t="shared" si="26"/>
        <v>0</v>
      </c>
      <c r="I210" s="125">
        <v>0</v>
      </c>
      <c r="J210" s="18">
        <f t="shared" si="27"/>
        <v>0</v>
      </c>
      <c r="K210" s="82"/>
      <c r="L210" s="87">
        <f t="shared" si="28"/>
        <v>0</v>
      </c>
      <c r="M210" s="44"/>
      <c r="N210" s="44"/>
      <c r="O210" s="44"/>
      <c r="P210" s="44"/>
      <c r="Q210" s="44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customHeight="1">
      <c r="A211" s="33">
        <v>11</v>
      </c>
      <c r="B211" s="5" t="s">
        <v>47</v>
      </c>
      <c r="C211" s="17" t="s">
        <v>138</v>
      </c>
      <c r="D211" s="37" t="s">
        <v>200</v>
      </c>
      <c r="E211" s="179"/>
      <c r="F211" s="196">
        <v>1950</v>
      </c>
      <c r="G211" s="20"/>
      <c r="H211" s="176">
        <f t="shared" si="26"/>
        <v>3900</v>
      </c>
      <c r="I211" s="230">
        <v>3900</v>
      </c>
      <c r="J211" s="18">
        <f t="shared" si="27"/>
        <v>0</v>
      </c>
      <c r="K211" s="308"/>
      <c r="L211" s="87">
        <f t="shared" si="28"/>
        <v>3900</v>
      </c>
      <c r="M211" s="44"/>
      <c r="N211" s="44"/>
      <c r="O211" s="44"/>
      <c r="P211" s="44"/>
      <c r="Q211" s="44"/>
      <c r="R211" s="1"/>
      <c r="S211" s="1"/>
      <c r="T211" s="1"/>
      <c r="U211" s="1"/>
      <c r="V211" s="1"/>
      <c r="W211" s="1"/>
      <c r="X211" s="1"/>
      <c r="Y211" s="1"/>
      <c r="Z211" s="1"/>
    </row>
    <row r="212" spans="1:27" ht="13.2" customHeight="1">
      <c r="A212" s="33">
        <v>12</v>
      </c>
      <c r="B212" s="5" t="s">
        <v>171</v>
      </c>
      <c r="C212" s="17" t="s">
        <v>172</v>
      </c>
      <c r="D212" s="297" t="s">
        <v>173</v>
      </c>
      <c r="E212" s="179"/>
      <c r="F212" s="194">
        <v>1950</v>
      </c>
      <c r="G212" s="20"/>
      <c r="H212" s="176">
        <f t="shared" si="26"/>
        <v>3900</v>
      </c>
      <c r="I212" s="230">
        <v>3900</v>
      </c>
      <c r="J212" s="18">
        <f t="shared" si="27"/>
        <v>0</v>
      </c>
      <c r="K212" s="82"/>
      <c r="L212" s="87">
        <f t="shared" si="28"/>
        <v>3900</v>
      </c>
      <c r="M212" s="44"/>
      <c r="N212" s="44"/>
      <c r="O212" s="44"/>
      <c r="P212" s="44"/>
      <c r="Q212" s="44"/>
      <c r="R212" s="1"/>
      <c r="S212" s="1"/>
      <c r="T212" s="1"/>
      <c r="U212" s="1"/>
      <c r="V212" s="1"/>
      <c r="W212" s="1"/>
      <c r="X212" s="1"/>
      <c r="Y212" s="1"/>
      <c r="Z212" s="1"/>
    </row>
    <row r="213" spans="1:27" ht="13.2" customHeight="1">
      <c r="A213" s="33">
        <v>13</v>
      </c>
      <c r="B213" s="5" t="s">
        <v>182</v>
      </c>
      <c r="C213" s="17" t="s">
        <v>45</v>
      </c>
      <c r="D213" s="38" t="s">
        <v>185</v>
      </c>
      <c r="E213" s="179"/>
      <c r="F213" s="194">
        <v>1950</v>
      </c>
      <c r="G213" s="20"/>
      <c r="H213" s="176">
        <f t="shared" si="26"/>
        <v>3900</v>
      </c>
      <c r="I213" s="230">
        <v>3900</v>
      </c>
      <c r="J213" s="18">
        <f t="shared" si="27"/>
        <v>0</v>
      </c>
      <c r="K213" s="82"/>
      <c r="L213" s="87">
        <f t="shared" si="28"/>
        <v>3900</v>
      </c>
      <c r="M213" s="44"/>
      <c r="N213" s="44"/>
      <c r="O213" s="44"/>
      <c r="P213" s="44"/>
      <c r="Q213" s="44"/>
      <c r="R213" s="1"/>
      <c r="S213" s="1"/>
      <c r="T213" s="1"/>
      <c r="U213" s="1"/>
      <c r="V213" s="1"/>
      <c r="W213" s="1"/>
      <c r="X213" s="1"/>
      <c r="Y213" s="1"/>
      <c r="Z213" s="1"/>
    </row>
    <row r="214" spans="1:27" ht="13.2" customHeight="1">
      <c r="A214" s="33">
        <v>14</v>
      </c>
      <c r="B214" s="17" t="s">
        <v>226</v>
      </c>
      <c r="C214" s="17" t="s">
        <v>222</v>
      </c>
      <c r="D214" s="38" t="s">
        <v>223</v>
      </c>
      <c r="E214" s="195"/>
      <c r="F214" s="194">
        <v>1950</v>
      </c>
      <c r="G214" s="20"/>
      <c r="H214" s="176">
        <f t="shared" si="26"/>
        <v>3900</v>
      </c>
      <c r="I214" s="230">
        <v>3900</v>
      </c>
      <c r="J214" s="18">
        <f t="shared" si="27"/>
        <v>0</v>
      </c>
      <c r="K214" s="82"/>
      <c r="L214" s="87">
        <f t="shared" si="28"/>
        <v>3900</v>
      </c>
      <c r="M214" s="44"/>
      <c r="N214" s="44"/>
      <c r="O214" s="44"/>
      <c r="P214" s="44"/>
      <c r="Q214" s="44"/>
      <c r="R214" s="1"/>
      <c r="S214" s="1"/>
      <c r="T214" s="1"/>
      <c r="U214" s="1"/>
      <c r="V214" s="1"/>
      <c r="W214" s="1"/>
      <c r="X214" s="1"/>
      <c r="Y214" s="1"/>
      <c r="Z214" s="1"/>
    </row>
    <row r="215" spans="1:27" ht="13.2" customHeight="1">
      <c r="A215" s="33">
        <v>15</v>
      </c>
      <c r="B215" s="5" t="s">
        <v>79</v>
      </c>
      <c r="C215" s="17" t="s">
        <v>357</v>
      </c>
      <c r="D215" s="38" t="s">
        <v>217</v>
      </c>
      <c r="E215" s="179"/>
      <c r="F215" s="194">
        <v>1700</v>
      </c>
      <c r="G215" s="20"/>
      <c r="H215" s="176">
        <f t="shared" si="26"/>
        <v>3400</v>
      </c>
      <c r="I215" s="230">
        <v>3400</v>
      </c>
      <c r="J215" s="18">
        <f t="shared" si="27"/>
        <v>0</v>
      </c>
      <c r="K215" s="82"/>
      <c r="L215" s="87">
        <f t="shared" si="28"/>
        <v>3400</v>
      </c>
      <c r="M215" s="44"/>
      <c r="N215" s="44"/>
      <c r="O215" s="44"/>
      <c r="P215" s="44"/>
      <c r="Q215" s="44"/>
      <c r="R215" s="1"/>
      <c r="S215" s="1"/>
      <c r="T215" s="1"/>
      <c r="U215" s="1"/>
      <c r="V215" s="1"/>
    </row>
    <row r="216" spans="1:27" ht="15.75" customHeight="1">
      <c r="A216" s="33">
        <v>16</v>
      </c>
      <c r="B216" s="5" t="s">
        <v>218</v>
      </c>
      <c r="C216" s="17" t="s">
        <v>421</v>
      </c>
      <c r="D216" s="38" t="s">
        <v>224</v>
      </c>
      <c r="E216" s="179"/>
      <c r="F216" s="194">
        <v>1950</v>
      </c>
      <c r="G216" s="20"/>
      <c r="H216" s="176">
        <f t="shared" si="26"/>
        <v>3900</v>
      </c>
      <c r="I216" s="230">
        <v>3900</v>
      </c>
      <c r="J216" s="18">
        <f t="shared" si="27"/>
        <v>0</v>
      </c>
      <c r="K216" s="82"/>
      <c r="L216" s="87">
        <f t="shared" si="28"/>
        <v>3900</v>
      </c>
      <c r="M216" s="44"/>
      <c r="N216" s="44"/>
      <c r="O216" s="44"/>
      <c r="P216" s="44"/>
      <c r="Q216" s="44"/>
      <c r="R216" s="1"/>
      <c r="S216" s="1"/>
      <c r="T216" s="1"/>
      <c r="U216" s="1"/>
      <c r="V216" s="1"/>
    </row>
    <row r="217" spans="1:27" ht="15.75" customHeight="1">
      <c r="A217" s="33">
        <v>17</v>
      </c>
      <c r="B217" s="5" t="s">
        <v>317</v>
      </c>
      <c r="C217" s="17" t="s">
        <v>318</v>
      </c>
      <c r="D217" s="297" t="s">
        <v>337</v>
      </c>
      <c r="E217" s="179"/>
      <c r="F217" s="194">
        <v>1950</v>
      </c>
      <c r="G217" s="20"/>
      <c r="H217" s="176">
        <f t="shared" si="26"/>
        <v>3900</v>
      </c>
      <c r="I217" s="230">
        <v>3900</v>
      </c>
      <c r="J217" s="18">
        <f t="shared" si="27"/>
        <v>0</v>
      </c>
      <c r="K217" s="82"/>
      <c r="L217" s="87">
        <f t="shared" si="28"/>
        <v>3900</v>
      </c>
      <c r="M217" s="44"/>
      <c r="N217" s="282"/>
      <c r="O217" s="1"/>
      <c r="P217" s="1"/>
      <c r="Q217" s="1"/>
      <c r="R217" s="1"/>
      <c r="S217" s="1"/>
      <c r="T217" s="1"/>
      <c r="U217" s="1"/>
      <c r="V217" s="1"/>
    </row>
    <row r="218" spans="1:27" ht="15.75" customHeight="1">
      <c r="A218" s="33">
        <v>18</v>
      </c>
      <c r="B218" s="5" t="s">
        <v>321</v>
      </c>
      <c r="C218" s="17" t="s">
        <v>334</v>
      </c>
      <c r="D218" s="38" t="s">
        <v>335</v>
      </c>
      <c r="E218" s="179"/>
      <c r="F218" s="194">
        <v>1950</v>
      </c>
      <c r="G218" s="20"/>
      <c r="H218" s="176">
        <f t="shared" si="26"/>
        <v>3900</v>
      </c>
      <c r="I218" s="230">
        <v>3900</v>
      </c>
      <c r="J218" s="18">
        <f t="shared" si="27"/>
        <v>0</v>
      </c>
      <c r="K218" s="82"/>
      <c r="L218" s="87">
        <f t="shared" si="28"/>
        <v>3900</v>
      </c>
      <c r="M218" s="44"/>
      <c r="N218" s="282"/>
      <c r="O218" s="1"/>
      <c r="P218" s="1"/>
      <c r="Q218" s="1"/>
      <c r="R218" s="1"/>
      <c r="S218" s="1"/>
      <c r="T218" s="1"/>
      <c r="U218" s="1"/>
      <c r="V218" s="1"/>
    </row>
    <row r="219" spans="1:27" ht="15.75" customHeight="1">
      <c r="A219" s="33">
        <v>19</v>
      </c>
      <c r="B219" s="34" t="s">
        <v>301</v>
      </c>
      <c r="C219" s="34" t="s">
        <v>229</v>
      </c>
      <c r="D219" s="35" t="s">
        <v>295</v>
      </c>
      <c r="E219" s="182"/>
      <c r="F219" s="194">
        <v>1950</v>
      </c>
      <c r="G219" s="20"/>
      <c r="H219" s="176">
        <f t="shared" si="26"/>
        <v>3900</v>
      </c>
      <c r="I219" s="230">
        <v>3900</v>
      </c>
      <c r="J219" s="18">
        <f t="shared" si="27"/>
        <v>0</v>
      </c>
      <c r="K219" s="82"/>
      <c r="L219" s="87">
        <f t="shared" si="28"/>
        <v>3900</v>
      </c>
      <c r="M219" s="44"/>
      <c r="N219" s="282"/>
      <c r="O219" s="1"/>
      <c r="P219" s="1"/>
      <c r="Q219" s="1"/>
      <c r="R219" s="1"/>
      <c r="S219" s="1"/>
      <c r="T219" s="1"/>
      <c r="U219" s="1"/>
      <c r="V219" s="1"/>
    </row>
    <row r="220" spans="1:27" ht="15.75" customHeight="1">
      <c r="A220" s="33">
        <v>20</v>
      </c>
      <c r="B220" s="39" t="s">
        <v>330</v>
      </c>
      <c r="C220" s="39" t="s">
        <v>331</v>
      </c>
      <c r="D220" s="309" t="s">
        <v>332</v>
      </c>
      <c r="E220" s="180"/>
      <c r="F220" s="196">
        <v>1000</v>
      </c>
      <c r="G220" s="67"/>
      <c r="H220" s="176">
        <f t="shared" si="26"/>
        <v>2000</v>
      </c>
      <c r="I220" s="230">
        <v>2000</v>
      </c>
      <c r="J220" s="18">
        <f t="shared" si="27"/>
        <v>0</v>
      </c>
      <c r="K220" s="82"/>
      <c r="L220" s="87">
        <f t="shared" si="28"/>
        <v>2000</v>
      </c>
      <c r="M220" s="282"/>
      <c r="N220" s="282"/>
      <c r="O220" s="1"/>
      <c r="P220" s="1"/>
      <c r="Q220" s="1"/>
      <c r="R220" s="1"/>
      <c r="S220" s="1"/>
      <c r="T220" s="1"/>
      <c r="U220" s="1"/>
      <c r="V220" s="1"/>
    </row>
    <row r="221" spans="1:27" ht="15.75" customHeight="1">
      <c r="A221" s="33">
        <v>21</v>
      </c>
      <c r="B221" s="5" t="s">
        <v>338</v>
      </c>
      <c r="C221" s="17" t="s">
        <v>339</v>
      </c>
      <c r="D221" s="38" t="s">
        <v>340</v>
      </c>
      <c r="E221" s="179"/>
      <c r="F221" s="194">
        <v>1950</v>
      </c>
      <c r="G221" s="20"/>
      <c r="H221" s="176">
        <f t="shared" si="26"/>
        <v>3900</v>
      </c>
      <c r="I221" s="230">
        <v>3900</v>
      </c>
      <c r="J221" s="18">
        <f t="shared" si="27"/>
        <v>0</v>
      </c>
      <c r="K221" s="82"/>
      <c r="L221" s="87">
        <f t="shared" si="28"/>
        <v>3900</v>
      </c>
      <c r="M221" s="282"/>
      <c r="N221" s="282"/>
      <c r="O221" s="1"/>
      <c r="P221" s="1"/>
      <c r="Q221" s="1"/>
      <c r="R221" s="1"/>
      <c r="S221" s="1"/>
      <c r="T221" s="1"/>
      <c r="U221" s="1"/>
      <c r="V221" s="1"/>
    </row>
    <row r="222" spans="1:27" ht="15.75" customHeight="1">
      <c r="A222" s="33">
        <v>22</v>
      </c>
      <c r="B222" s="39" t="s">
        <v>396</v>
      </c>
      <c r="C222" s="39" t="s">
        <v>397</v>
      </c>
      <c r="D222" s="73" t="s">
        <v>398</v>
      </c>
      <c r="E222" s="180"/>
      <c r="F222" s="194">
        <v>1950</v>
      </c>
      <c r="G222" s="67"/>
      <c r="H222" s="176">
        <f t="shared" si="26"/>
        <v>3900</v>
      </c>
      <c r="I222" s="125"/>
      <c r="J222" s="18">
        <f t="shared" si="27"/>
        <v>3900</v>
      </c>
      <c r="K222" s="4"/>
      <c r="L222" s="87">
        <f t="shared" si="28"/>
        <v>7800</v>
      </c>
      <c r="M222" s="282"/>
      <c r="N222" s="282"/>
      <c r="O222" s="1"/>
      <c r="P222" s="1"/>
      <c r="Q222" s="1"/>
      <c r="R222" s="1"/>
      <c r="S222" s="1"/>
      <c r="T222" s="1"/>
      <c r="U222" s="1"/>
      <c r="V222" s="1"/>
    </row>
    <row r="223" spans="1:27" ht="15.6">
      <c r="A223" s="33">
        <v>23</v>
      </c>
      <c r="B223" s="39" t="s">
        <v>718</v>
      </c>
      <c r="C223" s="39"/>
      <c r="D223" s="73"/>
      <c r="E223" s="180"/>
      <c r="F223" s="194">
        <v>1950</v>
      </c>
      <c r="G223" s="67"/>
      <c r="H223" s="176">
        <f t="shared" si="26"/>
        <v>3900</v>
      </c>
      <c r="I223" s="125">
        <v>2000</v>
      </c>
      <c r="J223" s="18">
        <f t="shared" si="27"/>
        <v>1900</v>
      </c>
      <c r="K223" s="4"/>
      <c r="L223" s="87">
        <f t="shared" si="28"/>
        <v>5800</v>
      </c>
      <c r="M223" s="282"/>
      <c r="N223" s="282"/>
      <c r="O223" s="1"/>
      <c r="P223" s="1"/>
      <c r="Q223" s="1"/>
      <c r="R223" s="1"/>
      <c r="S223" s="1"/>
      <c r="T223" s="1"/>
      <c r="U223" s="1"/>
      <c r="V223" s="1"/>
    </row>
    <row r="224" spans="1:27" ht="35.4" customHeight="1">
      <c r="A224" s="33">
        <v>24</v>
      </c>
      <c r="B224" s="39" t="s">
        <v>726</v>
      </c>
      <c r="C224" s="39" t="s">
        <v>727</v>
      </c>
      <c r="D224" s="73" t="s">
        <v>728</v>
      </c>
      <c r="E224" s="180"/>
      <c r="F224" s="194">
        <v>1950</v>
      </c>
      <c r="G224" s="67"/>
      <c r="H224" s="176">
        <f t="shared" si="26"/>
        <v>3900</v>
      </c>
      <c r="I224" s="125">
        <v>3900</v>
      </c>
      <c r="J224" s="18">
        <f t="shared" si="27"/>
        <v>0</v>
      </c>
      <c r="K224" s="4"/>
      <c r="L224" s="87">
        <f t="shared" si="28"/>
        <v>3900</v>
      </c>
      <c r="M224" s="282"/>
      <c r="N224" s="282"/>
      <c r="O224" s="1"/>
      <c r="P224" s="1"/>
      <c r="Q224" s="1"/>
      <c r="R224" s="1"/>
      <c r="S224" s="1"/>
      <c r="T224" s="1"/>
      <c r="U224" s="1"/>
      <c r="V224" s="1"/>
    </row>
    <row r="225" spans="1:22" ht="35.4" customHeight="1">
      <c r="A225" s="33">
        <v>25</v>
      </c>
      <c r="B225" s="39" t="s">
        <v>46</v>
      </c>
      <c r="C225" s="39"/>
      <c r="D225" s="73"/>
      <c r="E225" s="180"/>
      <c r="F225" s="194">
        <v>1000</v>
      </c>
      <c r="G225" s="67"/>
      <c r="H225" s="176">
        <f t="shared" si="26"/>
        <v>2000</v>
      </c>
      <c r="I225" s="125"/>
      <c r="J225" s="18">
        <f t="shared" si="27"/>
        <v>2000</v>
      </c>
      <c r="K225" s="4"/>
      <c r="L225" s="87">
        <f t="shared" si="28"/>
        <v>4000</v>
      </c>
      <c r="M225" s="282"/>
      <c r="N225" s="282"/>
      <c r="O225" s="1"/>
      <c r="P225" s="1"/>
      <c r="Q225" s="1"/>
      <c r="R225" s="1"/>
      <c r="S225" s="1"/>
      <c r="T225" s="1"/>
      <c r="U225" s="1"/>
      <c r="V225" s="1"/>
    </row>
    <row r="226" spans="1:22" ht="18.600000000000001" customHeight="1">
      <c r="A226" s="33">
        <v>26</v>
      </c>
      <c r="B226" s="110" t="s">
        <v>807</v>
      </c>
      <c r="C226" s="39" t="s">
        <v>811</v>
      </c>
      <c r="D226" s="73" t="s">
        <v>812</v>
      </c>
      <c r="E226" s="181"/>
      <c r="F226" s="194">
        <v>1950</v>
      </c>
      <c r="G226" s="67"/>
      <c r="H226" s="176">
        <f t="shared" si="26"/>
        <v>3900</v>
      </c>
      <c r="I226" s="125">
        <v>3900</v>
      </c>
      <c r="J226" s="18">
        <f t="shared" si="27"/>
        <v>0</v>
      </c>
      <c r="K226" s="4"/>
      <c r="L226" s="87">
        <f t="shared" si="28"/>
        <v>3900</v>
      </c>
      <c r="M226" s="282"/>
      <c r="N226" s="282"/>
      <c r="O226" s="1"/>
      <c r="P226" s="1"/>
      <c r="Q226" s="1"/>
      <c r="R226" s="1"/>
      <c r="S226" s="1"/>
      <c r="T226" s="1"/>
      <c r="U226" s="1"/>
      <c r="V226" s="1"/>
    </row>
    <row r="227" spans="1:22" ht="40.200000000000003" customHeight="1">
      <c r="A227" s="33">
        <v>27</v>
      </c>
      <c r="B227" s="180" t="s">
        <v>887</v>
      </c>
      <c r="C227" s="39"/>
      <c r="D227" s="73"/>
      <c r="E227" s="180"/>
      <c r="F227" s="194">
        <v>0</v>
      </c>
      <c r="G227" s="67"/>
      <c r="H227" s="176">
        <f t="shared" si="26"/>
        <v>0</v>
      </c>
      <c r="I227" s="125">
        <v>0</v>
      </c>
      <c r="J227" s="18">
        <f t="shared" si="27"/>
        <v>0</v>
      </c>
      <c r="K227" s="4"/>
      <c r="L227" s="87">
        <f t="shared" si="28"/>
        <v>0</v>
      </c>
      <c r="M227" s="282"/>
      <c r="N227" s="282"/>
      <c r="O227" s="1"/>
      <c r="P227" s="1"/>
      <c r="Q227" s="1"/>
      <c r="R227" s="1"/>
      <c r="S227" s="1"/>
      <c r="T227" s="1"/>
      <c r="U227" s="1"/>
      <c r="V227" s="1"/>
    </row>
    <row r="228" spans="1:22" ht="25.2" customHeight="1">
      <c r="A228" s="33">
        <v>28</v>
      </c>
      <c r="B228" s="180" t="s">
        <v>888</v>
      </c>
      <c r="C228" s="39"/>
      <c r="D228" s="73"/>
      <c r="E228" s="180"/>
      <c r="F228" s="194">
        <v>1950</v>
      </c>
      <c r="G228" s="67"/>
      <c r="H228" s="176">
        <f t="shared" si="26"/>
        <v>3900</v>
      </c>
      <c r="I228" s="125">
        <v>3900</v>
      </c>
      <c r="J228" s="18">
        <f t="shared" si="27"/>
        <v>0</v>
      </c>
      <c r="K228" s="4"/>
      <c r="L228" s="87">
        <f t="shared" si="28"/>
        <v>3900</v>
      </c>
      <c r="M228" s="282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38.4" customHeight="1">
      <c r="A229" s="33">
        <v>29</v>
      </c>
      <c r="B229" s="180" t="s">
        <v>889</v>
      </c>
      <c r="C229" s="39"/>
      <c r="D229" s="73"/>
      <c r="E229" s="180"/>
      <c r="F229" s="194">
        <v>1950</v>
      </c>
      <c r="G229" s="67"/>
      <c r="H229" s="176">
        <f t="shared" si="26"/>
        <v>3900</v>
      </c>
      <c r="I229" s="125">
        <v>2000</v>
      </c>
      <c r="J229" s="18">
        <f t="shared" si="27"/>
        <v>1900</v>
      </c>
      <c r="K229" s="4"/>
      <c r="L229" s="87">
        <f t="shared" si="28"/>
        <v>5800</v>
      </c>
      <c r="M229" s="282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22.2" customHeight="1">
      <c r="A230" s="491" t="s">
        <v>3</v>
      </c>
      <c r="B230" s="492"/>
      <c r="C230" s="492"/>
      <c r="D230" s="492"/>
      <c r="E230" s="239"/>
      <c r="F230" s="10">
        <f>SUM(F201:F229)</f>
        <v>46600</v>
      </c>
      <c r="G230" s="20"/>
      <c r="H230" s="10">
        <f>SUM(H201:H229)</f>
        <v>93200</v>
      </c>
      <c r="I230" s="290">
        <f>SUM(I201:I229)</f>
        <v>79600</v>
      </c>
      <c r="J230" s="290">
        <f>SUM(J201:J229)</f>
        <v>13600</v>
      </c>
      <c r="K230" s="105"/>
      <c r="L230" s="48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22.2" customHeight="1">
      <c r="A231" s="8"/>
      <c r="B231" s="8"/>
      <c r="C231" s="8"/>
      <c r="D231" s="8"/>
      <c r="E231" s="8"/>
      <c r="F231" s="8"/>
      <c r="G231" s="20"/>
      <c r="H231" s="20"/>
      <c r="I231" s="310"/>
      <c r="J231" s="311"/>
      <c r="K231" s="8"/>
      <c r="L231" s="48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22.2" customHeight="1">
      <c r="A232" s="487" t="s">
        <v>35</v>
      </c>
      <c r="B232" s="487"/>
      <c r="C232" s="487"/>
      <c r="D232" s="487"/>
      <c r="E232" s="487"/>
      <c r="F232" s="487"/>
      <c r="G232" s="487"/>
      <c r="H232" s="487"/>
      <c r="I232" s="487"/>
      <c r="J232" s="487"/>
      <c r="K232" s="487"/>
      <c r="L232" s="48"/>
      <c r="M232" s="2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22.2" customHeight="1">
      <c r="A233" s="312" t="s">
        <v>4</v>
      </c>
      <c r="B233" s="313" t="s">
        <v>6</v>
      </c>
      <c r="C233" s="312" t="s">
        <v>7</v>
      </c>
      <c r="D233" s="99" t="s">
        <v>0</v>
      </c>
      <c r="E233" s="99"/>
      <c r="F233" s="100" t="s">
        <v>5</v>
      </c>
      <c r="G233" s="148">
        <f>SUM(G234:G251)</f>
        <v>0</v>
      </c>
      <c r="H233" s="107" t="s">
        <v>190</v>
      </c>
      <c r="I233" s="96" t="s">
        <v>723</v>
      </c>
      <c r="J233" s="107" t="s">
        <v>58</v>
      </c>
      <c r="K233" s="101" t="s">
        <v>145</v>
      </c>
      <c r="L233" s="88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30" customHeight="1">
      <c r="A234" s="314">
        <v>1</v>
      </c>
      <c r="B234" s="7" t="s">
        <v>93</v>
      </c>
      <c r="C234" s="7" t="s">
        <v>94</v>
      </c>
      <c r="D234" s="315" t="s">
        <v>201</v>
      </c>
      <c r="E234" s="315"/>
      <c r="F234" s="187">
        <v>1950</v>
      </c>
      <c r="G234" s="48"/>
      <c r="H234" s="176">
        <f t="shared" ref="H234:H253" si="29">+F234*2</f>
        <v>3900</v>
      </c>
      <c r="I234" s="16">
        <v>3900</v>
      </c>
      <c r="J234" s="46">
        <f>+H234-I234</f>
        <v>0</v>
      </c>
      <c r="K234" s="4"/>
      <c r="L234" s="88">
        <f>+J234+F234*2</f>
        <v>3900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22.2" customHeight="1">
      <c r="A235" s="314">
        <v>2</v>
      </c>
      <c r="B235" s="7" t="s">
        <v>373</v>
      </c>
      <c r="C235" s="7" t="s">
        <v>95</v>
      </c>
      <c r="D235" s="315" t="s">
        <v>202</v>
      </c>
      <c r="E235" s="315"/>
      <c r="F235" s="187">
        <v>1950</v>
      </c>
      <c r="G235" s="48"/>
      <c r="H235" s="176">
        <f t="shared" si="29"/>
        <v>3900</v>
      </c>
      <c r="I235" s="16">
        <v>3900</v>
      </c>
      <c r="J235" s="46">
        <f t="shared" ref="J235:J253" si="30">+H235-I235</f>
        <v>0</v>
      </c>
      <c r="K235" s="4"/>
      <c r="L235" s="88">
        <f t="shared" ref="L235:L253" si="31">+J235+F235*2</f>
        <v>3900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22.2" customHeight="1">
      <c r="A236" s="314">
        <v>3</v>
      </c>
      <c r="B236" s="7" t="s">
        <v>96</v>
      </c>
      <c r="C236" s="7" t="s">
        <v>97</v>
      </c>
      <c r="D236" s="317" t="s">
        <v>203</v>
      </c>
      <c r="E236" s="318"/>
      <c r="F236" s="187">
        <v>0</v>
      </c>
      <c r="G236" s="48"/>
      <c r="H236" s="176">
        <f t="shared" si="29"/>
        <v>0</v>
      </c>
      <c r="I236" s="16">
        <v>0</v>
      </c>
      <c r="J236" s="46">
        <f t="shared" si="30"/>
        <v>0</v>
      </c>
      <c r="K236" s="4"/>
      <c r="L236" s="88">
        <f t="shared" si="31"/>
        <v>0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314">
        <v>4</v>
      </c>
      <c r="B237" s="26" t="s">
        <v>46</v>
      </c>
      <c r="C237" s="26" t="s">
        <v>98</v>
      </c>
      <c r="D237" s="319" t="s">
        <v>204</v>
      </c>
      <c r="E237" s="319"/>
      <c r="F237" s="189">
        <v>1950</v>
      </c>
      <c r="G237" s="48"/>
      <c r="H237" s="176">
        <f t="shared" si="29"/>
        <v>3900</v>
      </c>
      <c r="I237" s="54">
        <v>1950</v>
      </c>
      <c r="J237" s="46">
        <f t="shared" si="30"/>
        <v>1950</v>
      </c>
      <c r="K237" s="4"/>
      <c r="L237" s="88">
        <f t="shared" si="31"/>
        <v>5850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314">
        <v>5</v>
      </c>
      <c r="B238" s="7" t="s">
        <v>99</v>
      </c>
      <c r="C238" s="7" t="s">
        <v>100</v>
      </c>
      <c r="D238" s="320" t="s">
        <v>550</v>
      </c>
      <c r="E238" s="320" t="s">
        <v>307</v>
      </c>
      <c r="F238" s="187">
        <v>1950</v>
      </c>
      <c r="G238" s="48"/>
      <c r="H238" s="176">
        <f t="shared" si="29"/>
        <v>3900</v>
      </c>
      <c r="I238" s="54">
        <v>3900</v>
      </c>
      <c r="J238" s="46">
        <f t="shared" si="30"/>
        <v>0</v>
      </c>
      <c r="K238" s="4"/>
      <c r="L238" s="88">
        <f t="shared" si="31"/>
        <v>3900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314">
        <v>6</v>
      </c>
      <c r="B239" s="7" t="s">
        <v>54</v>
      </c>
      <c r="C239" s="7" t="s">
        <v>102</v>
      </c>
      <c r="D239" s="315" t="s">
        <v>206</v>
      </c>
      <c r="E239" s="315"/>
      <c r="F239" s="187">
        <v>1950</v>
      </c>
      <c r="G239" s="48"/>
      <c r="H239" s="176">
        <f t="shared" si="29"/>
        <v>3900</v>
      </c>
      <c r="I239" s="54">
        <v>3900</v>
      </c>
      <c r="J239" s="46">
        <f t="shared" si="30"/>
        <v>0</v>
      </c>
      <c r="K239" s="4"/>
      <c r="L239" s="88">
        <f t="shared" si="31"/>
        <v>3900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314">
        <v>7</v>
      </c>
      <c r="B240" s="7" t="s">
        <v>61</v>
      </c>
      <c r="C240" s="7"/>
      <c r="D240" s="315" t="s">
        <v>207</v>
      </c>
      <c r="E240" s="315"/>
      <c r="F240" s="187">
        <v>1950</v>
      </c>
      <c r="G240" s="48"/>
      <c r="H240" s="176">
        <f t="shared" si="29"/>
        <v>3900</v>
      </c>
      <c r="I240" s="54">
        <v>3900</v>
      </c>
      <c r="J240" s="46">
        <f t="shared" si="30"/>
        <v>0</v>
      </c>
      <c r="K240" s="4"/>
      <c r="L240" s="88">
        <f t="shared" si="31"/>
        <v>3900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314">
        <v>8</v>
      </c>
      <c r="B241" s="7" t="s">
        <v>62</v>
      </c>
      <c r="C241" s="7" t="s">
        <v>104</v>
      </c>
      <c r="D241" s="315" t="s">
        <v>208</v>
      </c>
      <c r="E241" s="315"/>
      <c r="F241" s="187">
        <v>1950</v>
      </c>
      <c r="G241" s="48"/>
      <c r="H241" s="176">
        <f t="shared" si="29"/>
        <v>3900</v>
      </c>
      <c r="I241" s="54">
        <v>3900</v>
      </c>
      <c r="J241" s="46">
        <f t="shared" si="30"/>
        <v>0</v>
      </c>
      <c r="K241" s="4"/>
      <c r="L241" s="88">
        <f t="shared" si="31"/>
        <v>3900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8" customHeight="1">
      <c r="A242" s="314">
        <v>9</v>
      </c>
      <c r="B242" s="7" t="s">
        <v>105</v>
      </c>
      <c r="C242" s="7" t="s">
        <v>106</v>
      </c>
      <c r="D242" s="315" t="s">
        <v>208</v>
      </c>
      <c r="E242" s="321"/>
      <c r="F242" s="187">
        <v>1950</v>
      </c>
      <c r="G242" s="48"/>
      <c r="H242" s="176">
        <f t="shared" si="29"/>
        <v>3900</v>
      </c>
      <c r="I242" s="54">
        <v>3900</v>
      </c>
      <c r="J242" s="46">
        <f t="shared" si="30"/>
        <v>0</v>
      </c>
      <c r="K242" s="4"/>
      <c r="L242" s="88">
        <f t="shared" si="31"/>
        <v>3900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8" customHeight="1">
      <c r="A243" s="314">
        <v>10</v>
      </c>
      <c r="B243" s="7" t="s">
        <v>107</v>
      </c>
      <c r="C243" s="7" t="s">
        <v>108</v>
      </c>
      <c r="D243" s="315" t="s">
        <v>209</v>
      </c>
      <c r="E243" s="315"/>
      <c r="F243" s="187">
        <v>1950</v>
      </c>
      <c r="G243" s="48"/>
      <c r="H243" s="176">
        <f t="shared" si="29"/>
        <v>3900</v>
      </c>
      <c r="I243" s="54">
        <v>3900</v>
      </c>
      <c r="J243" s="46">
        <f t="shared" si="30"/>
        <v>0</v>
      </c>
      <c r="K243" s="4"/>
      <c r="L243" s="88">
        <f t="shared" si="31"/>
        <v>3900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8" customHeight="1">
      <c r="A244" s="314">
        <v>11</v>
      </c>
      <c r="B244" s="7" t="s">
        <v>41</v>
      </c>
      <c r="C244" s="7" t="s">
        <v>66</v>
      </c>
      <c r="D244" s="315" t="s">
        <v>210</v>
      </c>
      <c r="E244" s="315"/>
      <c r="F244" s="187">
        <v>1950</v>
      </c>
      <c r="G244" s="48"/>
      <c r="H244" s="176">
        <f t="shared" si="29"/>
        <v>3900</v>
      </c>
      <c r="I244" s="54">
        <v>1950</v>
      </c>
      <c r="J244" s="46">
        <f t="shared" si="30"/>
        <v>1950</v>
      </c>
      <c r="K244" s="4"/>
      <c r="L244" s="88">
        <f t="shared" si="31"/>
        <v>5850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21.6" customHeight="1">
      <c r="A245" s="314">
        <v>12</v>
      </c>
      <c r="B245" s="7" t="s">
        <v>111</v>
      </c>
      <c r="C245" s="322" t="s">
        <v>67</v>
      </c>
      <c r="D245" s="320" t="s">
        <v>232</v>
      </c>
      <c r="E245" s="320"/>
      <c r="F245" s="187">
        <v>1950</v>
      </c>
      <c r="G245" s="48"/>
      <c r="H245" s="176">
        <f t="shared" si="29"/>
        <v>3900</v>
      </c>
      <c r="I245" s="54">
        <v>3900</v>
      </c>
      <c r="J245" s="46">
        <f t="shared" si="30"/>
        <v>0</v>
      </c>
      <c r="K245" s="4"/>
      <c r="L245" s="88">
        <f t="shared" si="31"/>
        <v>3900</v>
      </c>
      <c r="M245" s="1"/>
      <c r="N245" s="1"/>
      <c r="O245" s="48"/>
      <c r="P245" s="48"/>
      <c r="Q245" s="48"/>
      <c r="R245" s="1"/>
      <c r="S245" s="1"/>
      <c r="T245" s="1"/>
      <c r="U245" s="1"/>
      <c r="V245" s="1"/>
    </row>
    <row r="246" spans="1:22" ht="21.6" customHeight="1">
      <c r="A246" s="314">
        <v>13</v>
      </c>
      <c r="B246" s="7" t="s">
        <v>68</v>
      </c>
      <c r="C246" s="7" t="s">
        <v>113</v>
      </c>
      <c r="D246" s="323" t="s">
        <v>211</v>
      </c>
      <c r="E246" s="323"/>
      <c r="F246" s="187">
        <v>1950</v>
      </c>
      <c r="G246" s="48"/>
      <c r="H246" s="176">
        <f t="shared" si="29"/>
        <v>3900</v>
      </c>
      <c r="I246" s="54">
        <v>3900</v>
      </c>
      <c r="J246" s="46">
        <f t="shared" si="30"/>
        <v>0</v>
      </c>
      <c r="K246" s="4"/>
      <c r="L246" s="88">
        <f t="shared" si="31"/>
        <v>3900</v>
      </c>
      <c r="M246" s="1"/>
      <c r="N246" s="1"/>
      <c r="O246" s="48"/>
      <c r="P246" s="48"/>
      <c r="Q246" s="48"/>
      <c r="R246" s="48"/>
      <c r="S246" s="1"/>
      <c r="T246" s="1"/>
      <c r="U246" s="1"/>
      <c r="V246" s="1"/>
    </row>
    <row r="247" spans="1:22" ht="21.6" customHeight="1">
      <c r="A247" s="314">
        <v>14</v>
      </c>
      <c r="B247" s="7" t="s">
        <v>121</v>
      </c>
      <c r="C247" s="324" t="s">
        <v>112</v>
      </c>
      <c r="D247" s="307" t="s">
        <v>212</v>
      </c>
      <c r="E247" s="307"/>
      <c r="F247" s="187">
        <v>1950</v>
      </c>
      <c r="G247" s="48"/>
      <c r="H247" s="176">
        <f t="shared" si="29"/>
        <v>3900</v>
      </c>
      <c r="I247" s="54">
        <v>3900</v>
      </c>
      <c r="J247" s="46">
        <f t="shared" si="30"/>
        <v>0</v>
      </c>
      <c r="K247" s="4"/>
      <c r="L247" s="88">
        <f t="shared" si="31"/>
        <v>3900</v>
      </c>
      <c r="M247" s="21"/>
      <c r="N247" s="48"/>
      <c r="O247" s="48"/>
      <c r="P247" s="48"/>
      <c r="Q247" s="48"/>
      <c r="R247" s="48"/>
      <c r="S247" s="1"/>
      <c r="T247" s="1"/>
      <c r="U247" s="1"/>
      <c r="V247" s="1"/>
    </row>
    <row r="248" spans="1:22" ht="18.75" customHeight="1">
      <c r="A248" s="314">
        <v>15</v>
      </c>
      <c r="B248" s="72" t="s">
        <v>115</v>
      </c>
      <c r="C248" s="325" t="s">
        <v>116</v>
      </c>
      <c r="D248" s="307" t="s">
        <v>213</v>
      </c>
      <c r="E248" s="307"/>
      <c r="F248" s="187">
        <v>1950</v>
      </c>
      <c r="G248" s="48"/>
      <c r="H248" s="176">
        <f t="shared" si="29"/>
        <v>3900</v>
      </c>
      <c r="I248" s="54">
        <v>3900</v>
      </c>
      <c r="J248" s="46">
        <f t="shared" si="30"/>
        <v>0</v>
      </c>
      <c r="K248" s="4"/>
      <c r="L248" s="88">
        <f t="shared" si="31"/>
        <v>3900</v>
      </c>
      <c r="M248" s="48"/>
      <c r="N248" s="48"/>
      <c r="O248" s="48"/>
      <c r="P248" s="48"/>
      <c r="Q248" s="48"/>
      <c r="R248" s="48"/>
      <c r="S248" s="1"/>
      <c r="T248" s="1"/>
      <c r="U248" s="1"/>
      <c r="V248" s="1"/>
    </row>
    <row r="249" spans="1:22" ht="32.4" customHeight="1">
      <c r="A249" s="314">
        <v>16</v>
      </c>
      <c r="B249" s="5" t="s">
        <v>146</v>
      </c>
      <c r="C249" s="325" t="s">
        <v>149</v>
      </c>
      <c r="D249" s="307" t="s">
        <v>150</v>
      </c>
      <c r="E249" s="307"/>
      <c r="F249" s="187">
        <v>1950</v>
      </c>
      <c r="G249" s="48"/>
      <c r="H249" s="176">
        <f t="shared" si="29"/>
        <v>3900</v>
      </c>
      <c r="I249" s="54">
        <v>3900</v>
      </c>
      <c r="J249" s="46">
        <f t="shared" si="30"/>
        <v>0</v>
      </c>
      <c r="K249" s="4"/>
      <c r="L249" s="88">
        <f t="shared" si="31"/>
        <v>3900</v>
      </c>
      <c r="M249" s="48"/>
      <c r="N249" s="48"/>
      <c r="O249" s="48"/>
      <c r="P249" s="48"/>
      <c r="Q249" s="48"/>
      <c r="R249" s="48"/>
      <c r="S249" s="1"/>
      <c r="T249" s="1"/>
      <c r="U249" s="1"/>
      <c r="V249" s="1"/>
    </row>
    <row r="250" spans="1:22" ht="33.6" customHeight="1">
      <c r="A250" s="314">
        <v>17</v>
      </c>
      <c r="B250" s="74" t="s">
        <v>230</v>
      </c>
      <c r="C250" s="114" t="s">
        <v>229</v>
      </c>
      <c r="D250" s="127" t="s">
        <v>237</v>
      </c>
      <c r="E250" s="127"/>
      <c r="F250" s="187">
        <v>1950</v>
      </c>
      <c r="G250" s="48"/>
      <c r="H250" s="176">
        <f t="shared" si="29"/>
        <v>3900</v>
      </c>
      <c r="I250" s="54">
        <v>1950</v>
      </c>
      <c r="J250" s="46">
        <f t="shared" si="30"/>
        <v>1950</v>
      </c>
      <c r="K250" s="4"/>
      <c r="L250" s="88">
        <f t="shared" si="31"/>
        <v>5850</v>
      </c>
      <c r="M250" s="48"/>
      <c r="N250" s="48"/>
      <c r="O250" s="48"/>
      <c r="P250" s="48"/>
      <c r="Q250" s="48"/>
      <c r="R250" s="48"/>
      <c r="S250" s="1"/>
      <c r="T250" s="1"/>
      <c r="U250" s="1"/>
      <c r="V250" s="1"/>
    </row>
    <row r="251" spans="1:22" ht="33.6" customHeight="1">
      <c r="A251" s="314">
        <v>18</v>
      </c>
      <c r="B251" s="39" t="s">
        <v>729</v>
      </c>
      <c r="C251" s="39" t="s">
        <v>730</v>
      </c>
      <c r="D251" s="73" t="s">
        <v>731</v>
      </c>
      <c r="E251" s="73"/>
      <c r="F251" s="187">
        <v>1950</v>
      </c>
      <c r="G251" s="48"/>
      <c r="H251" s="176">
        <f t="shared" si="29"/>
        <v>3900</v>
      </c>
      <c r="I251" s="54"/>
      <c r="J251" s="46">
        <f t="shared" si="30"/>
        <v>3900</v>
      </c>
      <c r="K251" s="126"/>
      <c r="L251" s="88">
        <f t="shared" si="31"/>
        <v>7800</v>
      </c>
      <c r="M251" s="48"/>
      <c r="N251" s="48"/>
      <c r="O251" s="48"/>
      <c r="P251" s="48"/>
      <c r="Q251" s="48"/>
      <c r="R251" s="48"/>
      <c r="S251" s="1"/>
      <c r="T251" s="1"/>
      <c r="U251" s="1"/>
      <c r="V251" s="1"/>
    </row>
    <row r="252" spans="1:22" ht="33.6" customHeight="1">
      <c r="A252" s="314">
        <v>19</v>
      </c>
      <c r="B252" s="74" t="s">
        <v>941</v>
      </c>
      <c r="C252" s="39"/>
      <c r="D252" s="73"/>
      <c r="E252" s="73"/>
      <c r="F252" s="187">
        <v>1950</v>
      </c>
      <c r="G252" s="48"/>
      <c r="H252" s="176">
        <f t="shared" si="29"/>
        <v>3900</v>
      </c>
      <c r="I252" s="54">
        <v>3900</v>
      </c>
      <c r="J252" s="46">
        <f t="shared" si="30"/>
        <v>0</v>
      </c>
      <c r="K252" s="126"/>
      <c r="L252" s="88">
        <f t="shared" si="31"/>
        <v>3900</v>
      </c>
      <c r="M252" s="48"/>
      <c r="N252" s="48"/>
      <c r="O252" s="48"/>
      <c r="P252" s="48"/>
      <c r="Q252" s="48"/>
      <c r="R252" s="48"/>
      <c r="S252" s="1"/>
      <c r="T252" s="1"/>
      <c r="U252" s="1"/>
      <c r="V252" s="1"/>
    </row>
    <row r="253" spans="1:22" ht="33.6" customHeight="1">
      <c r="A253" s="314">
        <v>20</v>
      </c>
      <c r="B253" s="39" t="s">
        <v>942</v>
      </c>
      <c r="C253" s="39"/>
      <c r="D253" s="73"/>
      <c r="E253" s="73"/>
      <c r="F253" s="187">
        <v>1000</v>
      </c>
      <c r="G253" s="48"/>
      <c r="H253" s="176">
        <f t="shared" si="29"/>
        <v>2000</v>
      </c>
      <c r="I253" s="54">
        <v>2000</v>
      </c>
      <c r="J253" s="46">
        <f t="shared" si="30"/>
        <v>0</v>
      </c>
      <c r="K253" s="126"/>
      <c r="L253" s="88">
        <f t="shared" si="31"/>
        <v>2000</v>
      </c>
      <c r="M253" s="48"/>
      <c r="N253" s="48"/>
      <c r="O253" s="48"/>
      <c r="P253" s="48"/>
      <c r="Q253" s="48"/>
      <c r="R253" s="48"/>
      <c r="S253" s="1"/>
      <c r="T253" s="1"/>
      <c r="U253" s="1"/>
      <c r="V253" s="1"/>
    </row>
    <row r="254" spans="1:22" ht="33.6" customHeight="1">
      <c r="A254" s="326"/>
      <c r="B254" s="39"/>
      <c r="C254" s="39"/>
      <c r="D254" s="73"/>
      <c r="E254" s="73"/>
      <c r="F254" s="327"/>
      <c r="G254" s="48"/>
      <c r="H254" s="327"/>
      <c r="I254" s="231"/>
      <c r="J254" s="232"/>
      <c r="K254" s="126"/>
      <c r="L254" s="186"/>
      <c r="M254" s="48"/>
      <c r="N254" s="48"/>
      <c r="O254" s="1"/>
      <c r="P254" s="1"/>
      <c r="Q254" s="1"/>
      <c r="R254" s="48"/>
      <c r="S254" s="1"/>
      <c r="T254" s="1"/>
      <c r="U254" s="1"/>
      <c r="V254" s="1"/>
    </row>
    <row r="255" spans="1:22" ht="33.6" customHeight="1">
      <c r="A255" s="491" t="s">
        <v>3</v>
      </c>
      <c r="B255" s="492"/>
      <c r="C255" s="492"/>
      <c r="D255" s="492"/>
      <c r="E255" s="239"/>
      <c r="F255" s="10">
        <f>SUM(F234:F254)</f>
        <v>36100</v>
      </c>
      <c r="G255" s="138"/>
      <c r="H255" s="10">
        <f t="shared" ref="H255:J255" si="32">SUM(H234:H254)</f>
        <v>72200</v>
      </c>
      <c r="I255" s="10">
        <f t="shared" si="32"/>
        <v>62450</v>
      </c>
      <c r="J255" s="10">
        <f t="shared" si="32"/>
        <v>9750</v>
      </c>
      <c r="K255" s="69"/>
      <c r="L255" s="190"/>
      <c r="M255" s="48"/>
      <c r="N255" s="48"/>
      <c r="O255" s="1"/>
      <c r="P255" s="1"/>
      <c r="Q255" s="1"/>
      <c r="R255" s="1"/>
      <c r="S255" s="1"/>
      <c r="T255" s="1"/>
      <c r="U255" s="1"/>
      <c r="V255" s="1"/>
    </row>
    <row r="256" spans="1:22" ht="33.6" customHeight="1">
      <c r="A256" s="493" t="s">
        <v>881</v>
      </c>
      <c r="B256" s="489"/>
      <c r="C256" s="489"/>
      <c r="D256" s="489"/>
      <c r="E256" s="489"/>
      <c r="F256" s="489"/>
      <c r="G256" s="489"/>
      <c r="H256" s="489"/>
      <c r="I256" s="489"/>
      <c r="J256" s="489"/>
      <c r="K256" s="490"/>
      <c r="L256" s="186"/>
      <c r="M256" s="48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33.6" customHeight="1">
      <c r="A257" s="328" t="s">
        <v>4</v>
      </c>
      <c r="B257" s="329" t="s">
        <v>6</v>
      </c>
      <c r="C257" s="329" t="s">
        <v>7</v>
      </c>
      <c r="D257" s="330" t="s">
        <v>0</v>
      </c>
      <c r="E257" s="330"/>
      <c r="F257" s="331" t="s">
        <v>2</v>
      </c>
      <c r="G257" s="108"/>
      <c r="H257" s="96" t="s">
        <v>190</v>
      </c>
      <c r="I257" s="96" t="s">
        <v>723</v>
      </c>
      <c r="J257" s="96" t="s">
        <v>58</v>
      </c>
      <c r="K257" s="97" t="s">
        <v>145</v>
      </c>
      <c r="L257" s="186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33.6" customHeight="1">
      <c r="A258" s="314">
        <v>1</v>
      </c>
      <c r="B258" s="7" t="s">
        <v>8</v>
      </c>
      <c r="C258" s="7" t="s">
        <v>9</v>
      </c>
      <c r="D258" s="323" t="s">
        <v>10</v>
      </c>
      <c r="E258" s="323"/>
      <c r="F258" s="187">
        <v>1950</v>
      </c>
      <c r="G258" s="20"/>
      <c r="H258" s="176">
        <f t="shared" ref="H258:H277" si="33">+F258*2</f>
        <v>3900</v>
      </c>
      <c r="I258" s="85">
        <v>3900</v>
      </c>
      <c r="J258" s="16">
        <f>+H258-I258</f>
        <v>0</v>
      </c>
      <c r="K258" s="4"/>
      <c r="L258" s="186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314">
        <v>2</v>
      </c>
      <c r="B259" s="24" t="s">
        <v>12</v>
      </c>
      <c r="C259" s="7" t="s">
        <v>13</v>
      </c>
      <c r="D259" s="323" t="s">
        <v>14</v>
      </c>
      <c r="E259" s="323"/>
      <c r="F259" s="187">
        <v>1500</v>
      </c>
      <c r="G259" s="20"/>
      <c r="H259" s="176">
        <f t="shared" si="33"/>
        <v>3000</v>
      </c>
      <c r="I259" s="85">
        <v>3000</v>
      </c>
      <c r="J259" s="16">
        <f t="shared" ref="J259:J277" si="34">+H259-I259</f>
        <v>0</v>
      </c>
      <c r="K259" s="4"/>
      <c r="L259" s="186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20.399999999999999" customHeight="1">
      <c r="A260" s="314">
        <v>3</v>
      </c>
      <c r="B260" s="7" t="s">
        <v>15</v>
      </c>
      <c r="C260" s="7" t="s">
        <v>16</v>
      </c>
      <c r="D260" s="323" t="s">
        <v>17</v>
      </c>
      <c r="E260" s="323"/>
      <c r="F260" s="187">
        <v>0</v>
      </c>
      <c r="G260" s="20"/>
      <c r="H260" s="176">
        <f t="shared" si="33"/>
        <v>0</v>
      </c>
      <c r="I260" s="85">
        <v>0</v>
      </c>
      <c r="J260" s="16">
        <f t="shared" si="34"/>
        <v>0</v>
      </c>
      <c r="K260" s="4"/>
      <c r="L260" s="186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20.399999999999999" customHeight="1">
      <c r="A261" s="314">
        <v>4</v>
      </c>
      <c r="B261" s="7" t="s">
        <v>19</v>
      </c>
      <c r="C261" s="7" t="s">
        <v>20</v>
      </c>
      <c r="D261" s="323" t="s">
        <v>21</v>
      </c>
      <c r="E261" s="323"/>
      <c r="F261" s="187">
        <v>1950</v>
      </c>
      <c r="G261" s="20"/>
      <c r="H261" s="176">
        <f t="shared" si="33"/>
        <v>3900</v>
      </c>
      <c r="I261" s="85">
        <v>3900</v>
      </c>
      <c r="J261" s="16">
        <f t="shared" si="34"/>
        <v>0</v>
      </c>
      <c r="K261" s="4"/>
      <c r="L261" s="186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24" customHeight="1">
      <c r="A262" s="314">
        <v>5</v>
      </c>
      <c r="B262" s="7" t="s">
        <v>23</v>
      </c>
      <c r="C262" s="7" t="s">
        <v>24</v>
      </c>
      <c r="D262" s="323" t="s">
        <v>25</v>
      </c>
      <c r="E262" s="323"/>
      <c r="F262" s="187">
        <v>0</v>
      </c>
      <c r="G262" s="20"/>
      <c r="H262" s="176">
        <f t="shared" si="33"/>
        <v>0</v>
      </c>
      <c r="I262" s="85">
        <v>0</v>
      </c>
      <c r="J262" s="16">
        <f t="shared" si="34"/>
        <v>0</v>
      </c>
      <c r="K262" s="4"/>
      <c r="L262" s="186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314">
        <v>6</v>
      </c>
      <c r="B263" s="7" t="s">
        <v>27</v>
      </c>
      <c r="C263" s="7" t="s">
        <v>28</v>
      </c>
      <c r="D263" s="323" t="s">
        <v>29</v>
      </c>
      <c r="E263" s="323"/>
      <c r="F263" s="187">
        <v>1950</v>
      </c>
      <c r="G263" s="20"/>
      <c r="H263" s="176">
        <f t="shared" si="33"/>
        <v>3900</v>
      </c>
      <c r="I263" s="85">
        <v>3900</v>
      </c>
      <c r="J263" s="16">
        <f t="shared" si="34"/>
        <v>0</v>
      </c>
      <c r="K263" s="4"/>
      <c r="L263" s="186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314">
        <v>7</v>
      </c>
      <c r="B264" s="7" t="s">
        <v>31</v>
      </c>
      <c r="C264" s="7" t="s">
        <v>32</v>
      </c>
      <c r="D264" s="320" t="s">
        <v>569</v>
      </c>
      <c r="E264" s="320" t="s">
        <v>570</v>
      </c>
      <c r="F264" s="187">
        <v>1950</v>
      </c>
      <c r="G264" s="20"/>
      <c r="H264" s="176">
        <f t="shared" si="33"/>
        <v>3900</v>
      </c>
      <c r="I264" s="85">
        <v>3900</v>
      </c>
      <c r="J264" s="16">
        <f t="shared" si="34"/>
        <v>0</v>
      </c>
      <c r="K264" s="4"/>
      <c r="L264" s="186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314">
        <v>8</v>
      </c>
      <c r="B265" s="7" t="s">
        <v>34</v>
      </c>
      <c r="C265" s="7" t="s">
        <v>36</v>
      </c>
      <c r="D265" s="323" t="s">
        <v>37</v>
      </c>
      <c r="E265" s="323"/>
      <c r="F265" s="187">
        <v>1950</v>
      </c>
      <c r="G265" s="20"/>
      <c r="H265" s="176">
        <f t="shared" si="33"/>
        <v>3900</v>
      </c>
      <c r="I265" s="85">
        <v>3900</v>
      </c>
      <c r="J265" s="16">
        <f t="shared" si="34"/>
        <v>0</v>
      </c>
      <c r="K265" s="4"/>
      <c r="L265" s="186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314">
        <v>9</v>
      </c>
      <c r="B266" s="7" t="s">
        <v>38</v>
      </c>
      <c r="C266" s="7" t="s">
        <v>39</v>
      </c>
      <c r="D266" s="323" t="s">
        <v>40</v>
      </c>
      <c r="E266" s="323"/>
      <c r="F266" s="187">
        <v>1950</v>
      </c>
      <c r="G266" s="20"/>
      <c r="H266" s="176">
        <f t="shared" si="33"/>
        <v>3900</v>
      </c>
      <c r="I266" s="85">
        <v>3900</v>
      </c>
      <c r="J266" s="16">
        <f t="shared" si="34"/>
        <v>0</v>
      </c>
      <c r="K266" s="4"/>
      <c r="L266" s="188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314">
        <v>10</v>
      </c>
      <c r="B267" s="7" t="s">
        <v>42</v>
      </c>
      <c r="C267" s="7" t="s">
        <v>43</v>
      </c>
      <c r="D267" s="323" t="s">
        <v>44</v>
      </c>
      <c r="E267" s="323"/>
      <c r="F267" s="187">
        <v>1950</v>
      </c>
      <c r="G267" s="20"/>
      <c r="H267" s="176">
        <f t="shared" si="33"/>
        <v>3900</v>
      </c>
      <c r="I267" s="85">
        <v>3900</v>
      </c>
      <c r="J267" s="16">
        <f t="shared" si="34"/>
        <v>0</v>
      </c>
      <c r="K267" s="4"/>
      <c r="L267" s="186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314">
        <v>11</v>
      </c>
      <c r="B268" s="7" t="s">
        <v>49</v>
      </c>
      <c r="C268" s="7" t="s">
        <v>50</v>
      </c>
      <c r="D268" s="323" t="s">
        <v>51</v>
      </c>
      <c r="E268" s="323"/>
      <c r="F268" s="187">
        <v>1950</v>
      </c>
      <c r="G268" s="20"/>
      <c r="H268" s="176">
        <f t="shared" si="33"/>
        <v>3900</v>
      </c>
      <c r="I268" s="85">
        <v>3900</v>
      </c>
      <c r="J268" s="16">
        <f t="shared" si="34"/>
        <v>0</v>
      </c>
      <c r="K268" s="4"/>
      <c r="L268" s="186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314">
        <v>12</v>
      </c>
      <c r="B269" s="7" t="s">
        <v>52</v>
      </c>
      <c r="C269" s="7" t="s">
        <v>119</v>
      </c>
      <c r="D269" s="297" t="s">
        <v>142</v>
      </c>
      <c r="E269" s="288"/>
      <c r="F269" s="187">
        <v>1950</v>
      </c>
      <c r="G269" s="20"/>
      <c r="H269" s="176">
        <f t="shared" si="33"/>
        <v>3900</v>
      </c>
      <c r="I269" s="85">
        <v>3900</v>
      </c>
      <c r="J269" s="16">
        <f t="shared" si="34"/>
        <v>0</v>
      </c>
      <c r="K269" s="4"/>
      <c r="L269" s="186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314">
        <v>15</v>
      </c>
      <c r="B270" s="26" t="s">
        <v>56</v>
      </c>
      <c r="C270" s="26" t="s">
        <v>64</v>
      </c>
      <c r="D270" s="319" t="s">
        <v>118</v>
      </c>
      <c r="E270" s="319"/>
      <c r="F270" s="189">
        <v>1950</v>
      </c>
      <c r="G270" s="20"/>
      <c r="H270" s="176">
        <f t="shared" si="33"/>
        <v>3900</v>
      </c>
      <c r="I270" s="85">
        <v>3900</v>
      </c>
      <c r="J270" s="16">
        <f t="shared" si="34"/>
        <v>0</v>
      </c>
      <c r="K270" s="4"/>
      <c r="L270" s="179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314">
        <v>16</v>
      </c>
      <c r="B271" s="7" t="s">
        <v>57</v>
      </c>
      <c r="C271" s="7" t="s">
        <v>117</v>
      </c>
      <c r="D271" s="297" t="s">
        <v>143</v>
      </c>
      <c r="E271" s="288"/>
      <c r="F271" s="189">
        <v>1950</v>
      </c>
      <c r="G271" s="20"/>
      <c r="H271" s="176">
        <f t="shared" si="33"/>
        <v>3900</v>
      </c>
      <c r="I271" s="85">
        <v>3900</v>
      </c>
      <c r="J271" s="16">
        <f t="shared" si="34"/>
        <v>0</v>
      </c>
      <c r="K271" s="4"/>
      <c r="L271" s="180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314">
        <v>17</v>
      </c>
      <c r="B272" s="7" t="s">
        <v>59</v>
      </c>
      <c r="C272" s="322" t="s">
        <v>60</v>
      </c>
      <c r="D272" s="323" t="s">
        <v>29</v>
      </c>
      <c r="E272" s="323"/>
      <c r="F272" s="189">
        <v>1950</v>
      </c>
      <c r="G272" s="20"/>
      <c r="H272" s="176">
        <f t="shared" si="33"/>
        <v>3900</v>
      </c>
      <c r="I272" s="85">
        <v>3900</v>
      </c>
      <c r="J272" s="16">
        <f t="shared" si="34"/>
        <v>0</v>
      </c>
      <c r="K272" s="4"/>
      <c r="L272" s="180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314">
        <v>18</v>
      </c>
      <c r="B273" s="7" t="s">
        <v>120</v>
      </c>
      <c r="C273" s="322" t="s">
        <v>60</v>
      </c>
      <c r="D273" s="323" t="s">
        <v>29</v>
      </c>
      <c r="E273" s="323"/>
      <c r="F273" s="189">
        <v>1950</v>
      </c>
      <c r="G273" s="20"/>
      <c r="H273" s="176">
        <f t="shared" si="33"/>
        <v>3900</v>
      </c>
      <c r="I273" s="85">
        <v>3900</v>
      </c>
      <c r="J273" s="16">
        <f t="shared" si="34"/>
        <v>0</v>
      </c>
      <c r="K273" s="4"/>
      <c r="L273" s="180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314">
        <v>20</v>
      </c>
      <c r="B274" s="5" t="s">
        <v>139</v>
      </c>
      <c r="C274" s="17" t="s">
        <v>140</v>
      </c>
      <c r="D274" s="332" t="s">
        <v>151</v>
      </c>
      <c r="E274" s="333"/>
      <c r="F274" s="189">
        <v>1950</v>
      </c>
      <c r="G274" s="20"/>
      <c r="H274" s="176">
        <f t="shared" si="33"/>
        <v>3900</v>
      </c>
      <c r="I274" s="85">
        <v>3900</v>
      </c>
      <c r="J274" s="16">
        <f t="shared" si="34"/>
        <v>0</v>
      </c>
      <c r="K274" s="4"/>
      <c r="L274" s="48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314">
        <v>22</v>
      </c>
      <c r="B275" s="39" t="s">
        <v>308</v>
      </c>
      <c r="C275" s="17" t="s">
        <v>399</v>
      </c>
      <c r="D275" s="37" t="s">
        <v>401</v>
      </c>
      <c r="E275" s="37"/>
      <c r="F275" s="189">
        <v>1950</v>
      </c>
      <c r="G275" s="109"/>
      <c r="H275" s="176">
        <f t="shared" si="33"/>
        <v>3900</v>
      </c>
      <c r="I275" s="85">
        <v>3900</v>
      </c>
      <c r="J275" s="16">
        <f t="shared" si="34"/>
        <v>0</v>
      </c>
      <c r="K275" s="4"/>
      <c r="L275" s="48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314">
        <v>25</v>
      </c>
      <c r="B276" s="39" t="s">
        <v>510</v>
      </c>
      <c r="C276" s="17" t="s">
        <v>511</v>
      </c>
      <c r="D276" s="334" t="s">
        <v>512</v>
      </c>
      <c r="E276" s="334" t="str">
        <f>+D276</f>
        <v>03339611577</v>
      </c>
      <c r="F276" s="189">
        <v>1950</v>
      </c>
      <c r="G276" s="109"/>
      <c r="H276" s="176">
        <f t="shared" si="33"/>
        <v>3900</v>
      </c>
      <c r="I276" s="85">
        <v>3900</v>
      </c>
      <c r="J276" s="16">
        <f t="shared" si="34"/>
        <v>0</v>
      </c>
      <c r="K276" s="4"/>
      <c r="L276" s="48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314">
        <v>20</v>
      </c>
      <c r="B277" s="39" t="s">
        <v>800</v>
      </c>
      <c r="C277" s="39" t="s">
        <v>801</v>
      </c>
      <c r="D277" s="73" t="s">
        <v>802</v>
      </c>
      <c r="E277" s="73"/>
      <c r="F277" s="189">
        <v>1950</v>
      </c>
      <c r="G277" s="67"/>
      <c r="H277" s="176">
        <f t="shared" si="33"/>
        <v>3900</v>
      </c>
      <c r="I277" s="85">
        <v>3900</v>
      </c>
      <c r="J277" s="16">
        <f t="shared" si="34"/>
        <v>0</v>
      </c>
      <c r="K277" s="126"/>
      <c r="L277" s="48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491" t="s">
        <v>3</v>
      </c>
      <c r="B278" s="492"/>
      <c r="C278" s="492"/>
      <c r="D278" s="492"/>
      <c r="E278" s="239"/>
      <c r="F278" s="10">
        <f>SUM(F258:F277)</f>
        <v>34650</v>
      </c>
      <c r="G278" s="20"/>
      <c r="H278" s="10">
        <f>SUM(H258:H277)</f>
        <v>69300</v>
      </c>
      <c r="I278" s="10">
        <f>SUM(I258:I277)</f>
        <v>69300</v>
      </c>
      <c r="J278" s="10">
        <f>SUM(J258:J277)</f>
        <v>0</v>
      </c>
      <c r="K278" s="13"/>
      <c r="L278" s="48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8"/>
      <c r="B279" s="8"/>
      <c r="C279" s="8"/>
      <c r="D279" s="8"/>
      <c r="E279" s="8"/>
      <c r="F279" s="8"/>
      <c r="G279" s="20"/>
      <c r="H279" s="8"/>
      <c r="I279" s="83"/>
      <c r="J279" s="335"/>
      <c r="K279" s="299"/>
      <c r="L279" s="48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48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48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20"/>
      <c r="B282" s="20"/>
      <c r="C282" s="20"/>
      <c r="D282" s="20"/>
      <c r="E282" s="336"/>
      <c r="F282" s="336"/>
      <c r="G282" s="336"/>
      <c r="H282" s="336"/>
      <c r="I282" s="20"/>
      <c r="J282" s="20"/>
      <c r="K282" s="20"/>
      <c r="L282" s="88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36.6" customHeight="1">
      <c r="A283" s="20"/>
      <c r="B283" s="20"/>
      <c r="C283" s="20"/>
      <c r="E283" s="20"/>
      <c r="F283" s="20"/>
      <c r="G283" s="20"/>
      <c r="H283" s="20"/>
      <c r="I283" s="20"/>
      <c r="J283" s="20"/>
      <c r="K283" s="20"/>
      <c r="L283" s="88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20"/>
      <c r="B284" s="20"/>
      <c r="C284" s="20"/>
      <c r="D284" s="20"/>
      <c r="E284" s="337"/>
      <c r="F284" s="338"/>
      <c r="G284" s="20"/>
      <c r="H284" s="338"/>
      <c r="I284" s="20"/>
      <c r="J284" s="20"/>
      <c r="K284" s="20"/>
      <c r="L284" s="88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20"/>
      <c r="B285" s="20"/>
      <c r="C285" s="20"/>
      <c r="D285" s="20"/>
      <c r="E285" s="337"/>
      <c r="F285" s="338"/>
      <c r="G285" s="20"/>
      <c r="H285" s="338"/>
      <c r="I285" s="20"/>
      <c r="J285" s="20"/>
      <c r="K285" s="20"/>
      <c r="L285" s="88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20"/>
      <c r="B286" s="20"/>
      <c r="C286" s="20"/>
      <c r="D286" s="20"/>
      <c r="E286" s="337"/>
      <c r="F286" s="338"/>
      <c r="G286" s="20"/>
      <c r="H286" s="338"/>
      <c r="I286" s="20"/>
      <c r="J286" s="20"/>
      <c r="K286" s="20"/>
      <c r="L286" s="88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20"/>
      <c r="B287" s="20"/>
      <c r="C287" s="20"/>
      <c r="D287" s="20"/>
      <c r="E287" s="337"/>
      <c r="F287" s="338"/>
      <c r="G287" s="20"/>
      <c r="H287" s="338"/>
      <c r="I287" s="20"/>
      <c r="J287" s="20"/>
      <c r="K287" s="20"/>
      <c r="L287" s="7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20"/>
      <c r="B288" s="20"/>
      <c r="C288" s="20"/>
      <c r="D288" s="20"/>
      <c r="E288" s="337"/>
      <c r="F288" s="339"/>
      <c r="G288" s="20"/>
      <c r="H288" s="338"/>
      <c r="I288" s="20"/>
      <c r="J288" s="20"/>
      <c r="K288" s="20"/>
      <c r="L288" s="7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20"/>
      <c r="B289" s="20"/>
      <c r="C289" s="20"/>
      <c r="D289" s="20"/>
      <c r="I289"/>
      <c r="J289" s="20"/>
      <c r="K289" s="20"/>
      <c r="L289" s="7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20"/>
      <c r="B290" s="20"/>
      <c r="C290" s="20"/>
      <c r="D290" s="20"/>
      <c r="I290"/>
      <c r="J290" s="20"/>
      <c r="K290" s="20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20"/>
      <c r="B291" s="20"/>
      <c r="C291" s="20"/>
      <c r="D291" s="20"/>
      <c r="I291"/>
      <c r="J291" s="20"/>
      <c r="K291" s="20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43.2" customHeight="1">
      <c r="A292" s="68"/>
      <c r="B292" s="20"/>
      <c r="C292" s="20"/>
      <c r="D292" s="20"/>
      <c r="I292"/>
      <c r="J292" s="20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20"/>
      <c r="B293" s="20" t="s">
        <v>410</v>
      </c>
      <c r="C293" s="20"/>
      <c r="D293" s="20"/>
      <c r="I293"/>
      <c r="J293" s="20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20"/>
      <c r="B294" s="5" t="s">
        <v>411</v>
      </c>
      <c r="C294" s="5"/>
      <c r="D294" s="20"/>
      <c r="I294"/>
      <c r="J294" s="20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20"/>
      <c r="B295" s="5" t="s">
        <v>412</v>
      </c>
      <c r="C295" s="5">
        <v>5410</v>
      </c>
      <c r="D295" s="337"/>
      <c r="I295"/>
      <c r="J295" s="20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20"/>
      <c r="B296" s="5" t="s">
        <v>413</v>
      </c>
      <c r="C296" s="5"/>
      <c r="D296" s="20"/>
      <c r="I296"/>
      <c r="J296" s="20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20"/>
      <c r="B297" s="5" t="s">
        <v>835</v>
      </c>
      <c r="C297" s="5"/>
      <c r="D297" s="20"/>
      <c r="E297" s="20"/>
      <c r="F297" s="20"/>
      <c r="G297" s="20"/>
      <c r="H297" s="20"/>
      <c r="I297" s="20"/>
      <c r="J297" s="20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20"/>
      <c r="B298" s="5" t="s">
        <v>834</v>
      </c>
      <c r="C298" s="5">
        <v>600</v>
      </c>
      <c r="D298" s="20"/>
      <c r="E298" s="20"/>
      <c r="F298" s="20"/>
      <c r="G298" s="20"/>
      <c r="H298" s="20"/>
      <c r="I298" s="20"/>
      <c r="J298" s="20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20"/>
      <c r="B299" s="5" t="s">
        <v>814</v>
      </c>
      <c r="C299" s="5"/>
      <c r="D299" s="20"/>
      <c r="E299" s="20"/>
      <c r="F299" s="20"/>
      <c r="G299" s="20"/>
      <c r="H299" s="20"/>
      <c r="I299" s="20"/>
      <c r="J299" s="20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20"/>
      <c r="B300" s="5" t="s">
        <v>425</v>
      </c>
      <c r="C300" s="46"/>
      <c r="D300" s="20"/>
      <c r="E300" s="20"/>
      <c r="F300" s="20"/>
      <c r="G300" s="20"/>
      <c r="H300" s="20"/>
      <c r="I300" s="20"/>
      <c r="J300" s="20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20"/>
      <c r="B301" s="5" t="s">
        <v>961</v>
      </c>
      <c r="C301" s="46">
        <v>8000</v>
      </c>
      <c r="D301" s="20"/>
      <c r="E301" s="20"/>
      <c r="F301" s="20"/>
      <c r="G301" s="20"/>
      <c r="H301" s="20"/>
      <c r="I301" s="20"/>
      <c r="J301" s="20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20"/>
      <c r="B302" s="5" t="s">
        <v>962</v>
      </c>
      <c r="C302" s="5">
        <v>4500</v>
      </c>
      <c r="D302" s="20"/>
      <c r="E302" s="20"/>
      <c r="F302" s="20"/>
      <c r="G302" s="20"/>
      <c r="H302" s="20"/>
      <c r="I302" s="20"/>
      <c r="J302" s="20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20"/>
      <c r="B303" s="9" t="s">
        <v>3</v>
      </c>
      <c r="C303" s="9">
        <f>SUM(C294:C302)</f>
        <v>18510</v>
      </c>
      <c r="D303" s="20"/>
      <c r="E303" s="20"/>
      <c r="F303" s="20"/>
      <c r="G303" s="20"/>
      <c r="H303" s="20"/>
      <c r="I303" s="20"/>
      <c r="J303" s="20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89"/>
      <c r="B306" s="20"/>
      <c r="C306" s="20"/>
      <c r="D306" s="89"/>
      <c r="E306" s="89"/>
      <c r="F306" s="20"/>
      <c r="G306" s="20"/>
      <c r="H306" s="20"/>
      <c r="I306" s="20"/>
      <c r="J306" s="20"/>
      <c r="K306" s="20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25.2" customHeight="1">
      <c r="A307" s="89"/>
      <c r="B307" s="20"/>
      <c r="C307" s="20"/>
      <c r="D307" s="89"/>
      <c r="E307" s="89"/>
      <c r="F307" s="20"/>
      <c r="G307" s="20"/>
      <c r="H307" s="20"/>
      <c r="I307" s="20"/>
      <c r="J307" s="20"/>
      <c r="K307" s="20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36" customHeight="1">
      <c r="A308" s="89"/>
      <c r="B308" s="20"/>
      <c r="C308" s="20"/>
      <c r="D308" s="89"/>
      <c r="E308" s="89"/>
      <c r="F308" s="20"/>
      <c r="G308" s="20"/>
      <c r="H308" s="20"/>
      <c r="I308" s="20"/>
      <c r="J308" s="20"/>
      <c r="K308" s="20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36" customHeight="1">
      <c r="A309" s="89"/>
      <c r="B309" s="20"/>
      <c r="C309" s="20"/>
      <c r="D309" s="89"/>
      <c r="E309" s="89"/>
      <c r="F309" s="20"/>
      <c r="G309" s="20"/>
      <c r="H309" s="20"/>
      <c r="I309" s="20"/>
      <c r="J309" s="20"/>
      <c r="K309" s="20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36" customHeight="1">
      <c r="A310" s="89"/>
      <c r="B310" s="20"/>
      <c r="C310" s="20"/>
      <c r="D310" s="89"/>
      <c r="E310" s="89"/>
      <c r="F310" s="20"/>
      <c r="G310" s="20"/>
      <c r="H310" s="20"/>
      <c r="I310" s="20"/>
      <c r="J310" s="20"/>
      <c r="K310" s="20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89"/>
      <c r="B311" s="20"/>
      <c r="C311" s="20"/>
      <c r="D311" s="89"/>
      <c r="E311" s="89"/>
      <c r="F311" s="20"/>
      <c r="G311" s="20"/>
      <c r="H311" s="20"/>
      <c r="I311" s="20"/>
      <c r="J311" s="20"/>
      <c r="K311" s="20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89"/>
      <c r="B312" s="20"/>
      <c r="C312" s="20"/>
      <c r="D312" s="89"/>
      <c r="E312" s="89"/>
      <c r="F312" s="20"/>
      <c r="G312" s="20"/>
      <c r="H312" s="20"/>
      <c r="I312" s="20"/>
      <c r="J312" s="20"/>
      <c r="K312" s="20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89"/>
      <c r="B313" s="20"/>
      <c r="C313" s="20"/>
      <c r="D313" s="89"/>
      <c r="E313" s="89"/>
      <c r="F313" s="20"/>
      <c r="G313" s="20"/>
      <c r="H313" s="20"/>
      <c r="I313" s="20"/>
      <c r="J313" s="20"/>
      <c r="K313" s="20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89"/>
      <c r="B314" s="89"/>
      <c r="C314" s="20"/>
      <c r="D314" s="89"/>
      <c r="E314" s="89"/>
      <c r="F314" s="20"/>
      <c r="G314" s="20"/>
      <c r="H314" s="20"/>
      <c r="I314" s="20"/>
      <c r="J314" s="20"/>
      <c r="K314" s="20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89"/>
      <c r="B315" s="89"/>
      <c r="C315" s="89"/>
      <c r="D315" s="89"/>
      <c r="E315" s="89"/>
      <c r="F315" s="20"/>
      <c r="G315" s="20"/>
      <c r="H315" s="20"/>
      <c r="I315" s="20"/>
      <c r="J315" s="20"/>
      <c r="K315" s="20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89"/>
      <c r="B316" s="89"/>
      <c r="C316" s="89"/>
      <c r="D316" s="89"/>
      <c r="E316" s="89"/>
      <c r="F316" s="20"/>
      <c r="G316" s="20"/>
      <c r="H316" s="20"/>
      <c r="I316" s="20"/>
      <c r="J316" s="20"/>
      <c r="K316" s="20"/>
      <c r="L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89"/>
      <c r="B317" s="89"/>
      <c r="C317" s="89"/>
      <c r="D317" s="89"/>
      <c r="E317" s="89"/>
      <c r="F317" s="20"/>
      <c r="G317" s="20"/>
      <c r="H317" s="20"/>
      <c r="I317" s="20"/>
      <c r="J317" s="20"/>
      <c r="K317" s="20"/>
      <c r="L317" s="1"/>
      <c r="N317" s="1"/>
      <c r="R317" s="1"/>
      <c r="S317" s="1"/>
      <c r="T317" s="1"/>
      <c r="U317" s="1"/>
      <c r="V317" s="1"/>
    </row>
    <row r="318" spans="1:22" ht="15.75" customHeight="1">
      <c r="A318" s="89"/>
      <c r="B318" s="89"/>
      <c r="C318" s="89"/>
      <c r="D318" s="89"/>
      <c r="E318" s="89"/>
      <c r="F318" s="20"/>
      <c r="G318" s="20"/>
      <c r="H318" s="20"/>
      <c r="I318" s="20"/>
      <c r="J318" s="20"/>
      <c r="K318" s="20"/>
      <c r="L318" s="1"/>
      <c r="N318" s="1"/>
      <c r="U318" s="1"/>
      <c r="V318" s="1"/>
    </row>
    <row r="319" spans="1:22" ht="15.75" customHeight="1">
      <c r="A319" s="89"/>
      <c r="B319" s="340"/>
      <c r="C319" s="340"/>
      <c r="D319" s="340"/>
      <c r="E319" s="340"/>
      <c r="F319" s="20"/>
      <c r="G319" s="20"/>
      <c r="H319" s="20"/>
      <c r="I319" s="20"/>
      <c r="J319" s="20"/>
      <c r="K319" s="20"/>
      <c r="L319" s="1"/>
      <c r="U319" s="1"/>
      <c r="V319" s="1"/>
    </row>
    <row r="320" spans="1:22" ht="15.75" customHeight="1">
      <c r="A320" s="89"/>
      <c r="B320" s="341"/>
      <c r="C320" s="15"/>
      <c r="D320" s="35"/>
      <c r="E320" s="229"/>
      <c r="F320" s="20"/>
      <c r="G320" s="20"/>
      <c r="H320" s="20"/>
      <c r="I320" s="20"/>
      <c r="J320" s="20"/>
      <c r="K320" s="20"/>
      <c r="L320" s="1"/>
      <c r="U320" s="1"/>
      <c r="V320" s="1"/>
    </row>
    <row r="321" spans="1:22" ht="15.75" customHeight="1">
      <c r="A321" s="89"/>
      <c r="B321" s="5"/>
      <c r="C321" s="15"/>
      <c r="D321" s="35"/>
      <c r="E321" s="229"/>
      <c r="F321" s="89"/>
      <c r="L321" s="1"/>
      <c r="U321" s="1"/>
      <c r="V321" s="1"/>
    </row>
    <row r="322" spans="1:22" ht="15.75" customHeight="1">
      <c r="A322" s="89"/>
      <c r="B322" s="5"/>
      <c r="C322" s="5"/>
      <c r="D322" s="35"/>
      <c r="E322" s="229"/>
      <c r="F322" s="89"/>
      <c r="L322" s="1"/>
      <c r="U322" s="1"/>
      <c r="V322" s="1"/>
    </row>
    <row r="323" spans="1:22" ht="15.75" customHeight="1">
      <c r="A323" s="1"/>
      <c r="B323" s="8"/>
      <c r="C323" s="8"/>
      <c r="D323" s="8"/>
      <c r="E323" s="342"/>
      <c r="F323" s="1"/>
      <c r="G323" s="1"/>
      <c r="L323" s="1"/>
      <c r="U323" s="1"/>
      <c r="V323" s="1"/>
    </row>
    <row r="324" spans="1:22" ht="15.75" customHeight="1">
      <c r="B324" s="343"/>
      <c r="C324" s="343"/>
      <c r="D324" s="343"/>
      <c r="E324" s="343"/>
      <c r="L324" s="1"/>
      <c r="U324" s="1"/>
      <c r="V324" s="1"/>
    </row>
    <row r="325" spans="1:22" ht="15.75" customHeight="1">
      <c r="L325" s="1"/>
      <c r="U325" s="1"/>
      <c r="V325" s="1"/>
    </row>
    <row r="326" spans="1:22" ht="15.75" customHeight="1">
      <c r="L326" s="1"/>
      <c r="U326" s="1"/>
      <c r="V326" s="1"/>
    </row>
    <row r="327" spans="1:22" ht="15.75" customHeight="1">
      <c r="V327" s="1"/>
    </row>
    <row r="328" spans="1:22" ht="15.75" customHeight="1">
      <c r="V328" s="1"/>
    </row>
    <row r="329" spans="1:22" ht="15.75" customHeight="1">
      <c r="V329" s="1"/>
    </row>
    <row r="330" spans="1:22" ht="15.75" customHeight="1">
      <c r="V330" s="1"/>
    </row>
    <row r="331" spans="1:22" ht="15.75" customHeight="1">
      <c r="V331" s="1"/>
    </row>
    <row r="332" spans="1:22" ht="15.75" customHeight="1">
      <c r="V332" s="1"/>
    </row>
    <row r="333" spans="1:22" ht="15.75" customHeight="1">
      <c r="V333" s="1"/>
    </row>
    <row r="334" spans="1:22" ht="15.75" customHeight="1">
      <c r="V334" s="1"/>
    </row>
    <row r="335" spans="1:22" ht="15.75" customHeight="1"/>
    <row r="336" spans="1:22" ht="15.75" customHeight="1"/>
    <row r="337" spans="3:5" ht="15.75" customHeight="1"/>
    <row r="338" spans="3:5" ht="15.75" customHeight="1"/>
    <row r="339" spans="3:5" ht="15.75" customHeight="1">
      <c r="C339" s="344"/>
      <c r="D339" s="106" t="s">
        <v>3</v>
      </c>
      <c r="E339" s="345">
        <v>0.7</v>
      </c>
    </row>
    <row r="340" spans="3:5" ht="15.75" customHeight="1">
      <c r="C340" s="128" t="s">
        <v>611</v>
      </c>
      <c r="D340" s="129">
        <f>2240-140</f>
        <v>2100</v>
      </c>
      <c r="E340" s="129">
        <f>+D340*0.7</f>
        <v>1470</v>
      </c>
    </row>
    <row r="341" spans="3:5" ht="15.75" customHeight="1">
      <c r="C341" s="9" t="s">
        <v>124</v>
      </c>
      <c r="D341" s="129">
        <f>2900-1650-140</f>
        <v>1110</v>
      </c>
      <c r="E341" s="129">
        <f>+D341*0.7</f>
        <v>777</v>
      </c>
    </row>
    <row r="342" spans="3:5" ht="15.75" customHeight="1">
      <c r="C342" s="9" t="s">
        <v>70</v>
      </c>
      <c r="D342" s="10">
        <f>4200-610</f>
        <v>3590</v>
      </c>
      <c r="E342" s="129">
        <f>+D342*0.7</f>
        <v>2513</v>
      </c>
    </row>
    <row r="343" spans="3:5" ht="15.75" customHeight="1">
      <c r="C343" s="344" t="s">
        <v>3</v>
      </c>
      <c r="D343" s="10">
        <f>SUM(D340:D342)</f>
        <v>6800</v>
      </c>
      <c r="E343" s="10">
        <f>SUM(E340:E342)</f>
        <v>4760</v>
      </c>
    </row>
    <row r="344" spans="3:5" ht="15.75" customHeight="1">
      <c r="C344" s="9" t="s">
        <v>125</v>
      </c>
      <c r="D344" s="10">
        <v>2900</v>
      </c>
      <c r="E344" s="10">
        <f>0.7*D344</f>
        <v>2029.9999999999998</v>
      </c>
    </row>
    <row r="345" spans="3:5" ht="15.75" customHeight="1"/>
    <row r="346" spans="3:5" ht="15.75" customHeight="1"/>
    <row r="347" spans="3:5" ht="15.75" customHeight="1"/>
    <row r="348" spans="3:5" ht="15.75" customHeight="1"/>
    <row r="349" spans="3:5" ht="15.75" customHeight="1"/>
    <row r="350" spans="3:5" ht="15.75" customHeight="1"/>
    <row r="351" spans="3:5" ht="15.75" customHeight="1"/>
    <row r="352" spans="3:5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autoFilter ref="V12:AA88" xr:uid="{00000000-0009-0000-0000-000003000000}"/>
  <mergeCells count="26">
    <mergeCell ref="A255:D255"/>
    <mergeCell ref="A278:D278"/>
    <mergeCell ref="A256:K256"/>
    <mergeCell ref="W137:X137"/>
    <mergeCell ref="W117:X117"/>
    <mergeCell ref="W92:X92"/>
    <mergeCell ref="A232:K232"/>
    <mergeCell ref="A197:D197"/>
    <mergeCell ref="A199:K199"/>
    <mergeCell ref="A179:D179"/>
    <mergeCell ref="A158:D158"/>
    <mergeCell ref="A230:D230"/>
    <mergeCell ref="A180:K180"/>
    <mergeCell ref="N17:P17"/>
    <mergeCell ref="N1:T1"/>
    <mergeCell ref="A108:K108"/>
    <mergeCell ref="A133:K133"/>
    <mergeCell ref="A160:K160"/>
    <mergeCell ref="A132:D132"/>
    <mergeCell ref="A1:K1"/>
    <mergeCell ref="A106:D106"/>
    <mergeCell ref="A2:J2"/>
    <mergeCell ref="A36:D36"/>
    <mergeCell ref="A73:J73"/>
    <mergeCell ref="A37:J37"/>
    <mergeCell ref="A70:D70"/>
  </mergeCells>
  <printOptions horizontalCentered="1"/>
  <pageMargins left="0.7" right="0.7" top="0.75" bottom="0.75" header="0" footer="0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AA1078"/>
  <sheetViews>
    <sheetView topLeftCell="A72" zoomScale="70" zoomScaleNormal="70" workbookViewId="0">
      <selection activeCell="F109" sqref="F109"/>
    </sheetView>
  </sheetViews>
  <sheetFormatPr defaultColWidth="14.44140625" defaultRowHeight="15" customHeight="1"/>
  <cols>
    <col min="1" max="1" width="10.33203125" customWidth="1"/>
    <col min="2" max="2" width="34.44140625" bestFit="1" customWidth="1"/>
    <col min="3" max="3" width="29.6640625" customWidth="1"/>
    <col min="4" max="5" width="17.33203125" customWidth="1"/>
    <col min="6" max="6" width="16.5546875" customWidth="1"/>
    <col min="7" max="7" width="0.88671875" customWidth="1"/>
    <col min="8" max="8" width="15.6640625" bestFit="1" customWidth="1"/>
    <col min="9" max="9" width="15.88671875" style="22" customWidth="1"/>
    <col min="10" max="10" width="15.21875" bestFit="1" customWidth="1"/>
    <col min="11" max="11" width="39.33203125" customWidth="1"/>
    <col min="12" max="12" width="18" bestFit="1" customWidth="1"/>
    <col min="13" max="13" width="7.5546875" customWidth="1"/>
    <col min="14" max="14" width="26.44140625" bestFit="1" customWidth="1"/>
    <col min="15" max="15" width="15.77734375" bestFit="1" customWidth="1"/>
    <col min="16" max="17" width="17.6640625" customWidth="1"/>
    <col min="18" max="19" width="15.6640625" customWidth="1"/>
    <col min="20" max="20" width="8.6640625" customWidth="1"/>
    <col min="21" max="21" width="11.33203125" customWidth="1"/>
    <col min="22" max="22" width="18.44140625" customWidth="1"/>
    <col min="23" max="23" width="20.5546875" bestFit="1" customWidth="1"/>
    <col min="24" max="24" width="16.109375" customWidth="1"/>
    <col min="25" max="25" width="47.6640625" customWidth="1"/>
  </cols>
  <sheetData>
    <row r="1" spans="1:26" ht="37.950000000000003" customHeight="1" thickBot="1">
      <c r="A1" s="483" t="s">
        <v>952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1"/>
      <c r="M1" s="502" t="s">
        <v>949</v>
      </c>
      <c r="N1" s="502"/>
      <c r="O1" s="502"/>
      <c r="P1" s="502"/>
      <c r="Q1" s="502"/>
      <c r="R1" s="502"/>
      <c r="S1" s="502"/>
      <c r="T1" s="1"/>
      <c r="U1" s="1"/>
    </row>
    <row r="2" spans="1:26" ht="42.75" customHeight="1">
      <c r="A2" s="505" t="s">
        <v>922</v>
      </c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1"/>
      <c r="M2" s="49" t="s">
        <v>11</v>
      </c>
      <c r="N2" s="50" t="s">
        <v>80</v>
      </c>
      <c r="O2" s="50" t="s">
        <v>81</v>
      </c>
      <c r="P2" s="175" t="s">
        <v>599</v>
      </c>
      <c r="Q2" s="175" t="s">
        <v>953</v>
      </c>
      <c r="R2" s="175" t="s">
        <v>954</v>
      </c>
      <c r="S2" s="51" t="s">
        <v>247</v>
      </c>
      <c r="T2" s="1"/>
      <c r="U2" s="1"/>
    </row>
    <row r="3" spans="1:26" ht="33.6" customHeight="1" thickBot="1">
      <c r="A3" s="106" t="s">
        <v>4</v>
      </c>
      <c r="B3" s="9" t="s">
        <v>6</v>
      </c>
      <c r="C3" s="106" t="s">
        <v>7</v>
      </c>
      <c r="D3" s="106" t="s">
        <v>0</v>
      </c>
      <c r="E3" s="96" t="s">
        <v>478</v>
      </c>
      <c r="F3" s="96" t="s">
        <v>5</v>
      </c>
      <c r="G3" s="199">
        <v>1500</v>
      </c>
      <c r="H3" s="96" t="s">
        <v>190</v>
      </c>
      <c r="I3" s="96" t="s">
        <v>819</v>
      </c>
      <c r="J3" s="96" t="s">
        <v>58</v>
      </c>
      <c r="K3" s="112" t="s">
        <v>145</v>
      </c>
      <c r="L3" s="1"/>
      <c r="M3" s="52">
        <v>1</v>
      </c>
      <c r="N3" s="5" t="s">
        <v>476</v>
      </c>
      <c r="O3" s="33" t="s">
        <v>82</v>
      </c>
      <c r="P3" s="33">
        <v>17000</v>
      </c>
      <c r="Q3" s="33">
        <f>+P3*2</f>
        <v>34000</v>
      </c>
      <c r="R3" s="28">
        <v>34000</v>
      </c>
      <c r="S3" s="86">
        <f>+Q3-R3</f>
        <v>0</v>
      </c>
      <c r="T3" s="1"/>
      <c r="U3" s="31" t="s">
        <v>86</v>
      </c>
      <c r="V3" s="30"/>
      <c r="W3" s="30"/>
      <c r="X3" s="30"/>
      <c r="Y3" s="30"/>
      <c r="Z3" s="11" t="s">
        <v>87</v>
      </c>
    </row>
    <row r="4" spans="1:26" ht="27.6" customHeight="1">
      <c r="A4" s="33">
        <v>1</v>
      </c>
      <c r="B4" s="14" t="s">
        <v>838</v>
      </c>
      <c r="C4" s="14" t="s">
        <v>839</v>
      </c>
      <c r="D4" s="13"/>
      <c r="E4" s="32"/>
      <c r="F4" s="33">
        <v>1750</v>
      </c>
      <c r="G4" s="200"/>
      <c r="H4" s="33">
        <f>+F4*2</f>
        <v>3500</v>
      </c>
      <c r="I4" s="28">
        <v>3500</v>
      </c>
      <c r="J4" s="28">
        <f>+H4-I4</f>
        <v>0</v>
      </c>
      <c r="K4" s="28"/>
      <c r="L4" s="40">
        <f>+J4+F4*2</f>
        <v>3500</v>
      </c>
      <c r="M4" s="52">
        <v>2</v>
      </c>
      <c r="N4" s="5" t="s">
        <v>587</v>
      </c>
      <c r="O4" s="33" t="s">
        <v>588</v>
      </c>
      <c r="P4" s="33">
        <v>7400</v>
      </c>
      <c r="Q4" s="33">
        <f t="shared" ref="Q4:Q15" si="0">+P4*2</f>
        <v>14800</v>
      </c>
      <c r="R4" s="28">
        <v>14800</v>
      </c>
      <c r="S4" s="86">
        <f t="shared" ref="S4:S15" si="1">+Q4-R4</f>
        <v>0</v>
      </c>
      <c r="T4" s="1"/>
      <c r="U4" s="152" t="s">
        <v>48</v>
      </c>
      <c r="V4" s="153" t="s">
        <v>505</v>
      </c>
      <c r="W4" s="154"/>
      <c r="X4" s="155">
        <v>34000</v>
      </c>
      <c r="Y4" s="156"/>
      <c r="Z4" s="157" t="s">
        <v>82</v>
      </c>
    </row>
    <row r="5" spans="1:26" ht="27.6" customHeight="1">
      <c r="A5" s="33">
        <v>2</v>
      </c>
      <c r="B5" s="14" t="s">
        <v>848</v>
      </c>
      <c r="C5" s="14" t="s">
        <v>849</v>
      </c>
      <c r="D5" s="13"/>
      <c r="E5" s="32"/>
      <c r="F5" s="33">
        <v>1750</v>
      </c>
      <c r="G5" s="200"/>
      <c r="H5" s="33">
        <f t="shared" ref="H5:H37" si="2">+F5*2</f>
        <v>3500</v>
      </c>
      <c r="I5" s="28">
        <v>3500</v>
      </c>
      <c r="J5" s="28">
        <f t="shared" ref="J5:J37" si="3">+H5-I5</f>
        <v>0</v>
      </c>
      <c r="K5" s="28"/>
      <c r="L5" s="40">
        <f t="shared" ref="L5:L37" si="4">+J5+F5*2</f>
        <v>3500</v>
      </c>
      <c r="M5" s="52">
        <v>3</v>
      </c>
      <c r="N5" s="5" t="s">
        <v>946</v>
      </c>
      <c r="O5" s="33" t="s">
        <v>837</v>
      </c>
      <c r="P5" s="33">
        <v>8000</v>
      </c>
      <c r="Q5" s="33">
        <v>15250</v>
      </c>
      <c r="R5" s="28">
        <v>15250</v>
      </c>
      <c r="S5" s="86">
        <f t="shared" si="1"/>
        <v>0</v>
      </c>
      <c r="T5" s="1"/>
      <c r="U5" s="158" t="s">
        <v>53</v>
      </c>
      <c r="V5" s="19" t="s">
        <v>821</v>
      </c>
      <c r="W5" s="39"/>
      <c r="X5" s="23"/>
      <c r="Y5" s="104"/>
      <c r="Z5" s="150" t="s">
        <v>82</v>
      </c>
    </row>
    <row r="6" spans="1:26" ht="33" customHeight="1">
      <c r="A6" s="33">
        <v>3</v>
      </c>
      <c r="B6" s="5" t="s">
        <v>923</v>
      </c>
      <c r="C6" s="5" t="s">
        <v>850</v>
      </c>
      <c r="D6" s="13"/>
      <c r="E6" s="32"/>
      <c r="F6" s="33">
        <v>1750</v>
      </c>
      <c r="G6" s="200"/>
      <c r="H6" s="33">
        <f t="shared" si="2"/>
        <v>3500</v>
      </c>
      <c r="I6" s="28">
        <v>3500</v>
      </c>
      <c r="J6" s="28">
        <f t="shared" si="3"/>
        <v>0</v>
      </c>
      <c r="K6" s="28"/>
      <c r="L6" s="40">
        <f t="shared" si="4"/>
        <v>3500</v>
      </c>
      <c r="M6" s="52">
        <v>4</v>
      </c>
      <c r="N6" s="5" t="s">
        <v>825</v>
      </c>
      <c r="O6" s="33" t="s">
        <v>588</v>
      </c>
      <c r="P6" s="33">
        <v>8000</v>
      </c>
      <c r="Q6" s="33">
        <f t="shared" si="0"/>
        <v>16000</v>
      </c>
      <c r="R6" s="28">
        <v>16000</v>
      </c>
      <c r="S6" s="86">
        <f>+Q6-R6</f>
        <v>0</v>
      </c>
      <c r="T6" s="1"/>
      <c r="U6" s="158" t="s">
        <v>131</v>
      </c>
      <c r="V6" s="19" t="s">
        <v>858</v>
      </c>
      <c r="W6" s="39"/>
      <c r="X6" s="4">
        <v>2000</v>
      </c>
      <c r="Y6" s="91"/>
      <c r="Z6" s="150" t="s">
        <v>82</v>
      </c>
    </row>
    <row r="7" spans="1:26" ht="27.6" customHeight="1">
      <c r="A7" s="33">
        <v>5</v>
      </c>
      <c r="B7" s="5" t="s">
        <v>852</v>
      </c>
      <c r="C7" s="5" t="s">
        <v>853</v>
      </c>
      <c r="D7" s="32"/>
      <c r="E7" s="32"/>
      <c r="F7" s="33">
        <v>900</v>
      </c>
      <c r="G7" s="200"/>
      <c r="H7" s="33">
        <f t="shared" si="2"/>
        <v>1800</v>
      </c>
      <c r="I7" s="28">
        <v>1800</v>
      </c>
      <c r="J7" s="28">
        <f t="shared" si="3"/>
        <v>0</v>
      </c>
      <c r="K7" s="32"/>
      <c r="L7" s="40">
        <f t="shared" si="4"/>
        <v>1800</v>
      </c>
      <c r="M7" s="52">
        <v>5</v>
      </c>
      <c r="N7" s="5" t="s">
        <v>623</v>
      </c>
      <c r="O7" s="33" t="s">
        <v>588</v>
      </c>
      <c r="P7" s="33">
        <v>6600</v>
      </c>
      <c r="Q7" s="33">
        <f t="shared" si="0"/>
        <v>13200</v>
      </c>
      <c r="R7" s="28">
        <v>13200</v>
      </c>
      <c r="S7" s="86">
        <f>+Q7-R7</f>
        <v>0</v>
      </c>
      <c r="T7" s="1"/>
      <c r="U7" s="158" t="s">
        <v>246</v>
      </c>
      <c r="V7" s="19"/>
      <c r="W7" s="39"/>
      <c r="X7" s="4"/>
      <c r="Y7" s="91"/>
      <c r="Z7" s="150"/>
    </row>
    <row r="8" spans="1:26" ht="29.4" customHeight="1">
      <c r="A8" s="33">
        <v>6</v>
      </c>
      <c r="B8" s="5" t="s">
        <v>855</v>
      </c>
      <c r="C8" s="5" t="s">
        <v>854</v>
      </c>
      <c r="D8" s="32"/>
      <c r="E8" s="32"/>
      <c r="F8" s="33">
        <v>1750</v>
      </c>
      <c r="G8" s="200"/>
      <c r="H8" s="33">
        <f t="shared" si="2"/>
        <v>3500</v>
      </c>
      <c r="I8" s="28">
        <v>3500</v>
      </c>
      <c r="J8" s="28">
        <f t="shared" si="3"/>
        <v>0</v>
      </c>
      <c r="K8" s="32"/>
      <c r="L8" s="40">
        <f t="shared" si="4"/>
        <v>3500</v>
      </c>
      <c r="M8" s="52">
        <v>6</v>
      </c>
      <c r="N8" s="5" t="s">
        <v>624</v>
      </c>
      <c r="O8" s="33" t="s">
        <v>588</v>
      </c>
      <c r="P8" s="33">
        <v>6600</v>
      </c>
      <c r="Q8" s="33">
        <f t="shared" si="0"/>
        <v>13200</v>
      </c>
      <c r="R8" s="28">
        <v>13200</v>
      </c>
      <c r="S8" s="86">
        <f>+Q8-R8</f>
        <v>0</v>
      </c>
      <c r="T8" s="1"/>
      <c r="U8" s="158" t="s">
        <v>403</v>
      </c>
      <c r="V8" s="19"/>
      <c r="W8" s="39"/>
      <c r="X8" s="4"/>
      <c r="Y8" s="65"/>
      <c r="Z8" s="150"/>
    </row>
    <row r="9" spans="1:26" ht="40.200000000000003" customHeight="1">
      <c r="A9" s="33">
        <v>7</v>
      </c>
      <c r="B9" s="5" t="s">
        <v>859</v>
      </c>
      <c r="C9" s="5" t="s">
        <v>860</v>
      </c>
      <c r="D9" s="32"/>
      <c r="E9" s="32"/>
      <c r="F9" s="33">
        <v>900</v>
      </c>
      <c r="G9" s="200"/>
      <c r="H9" s="33">
        <f t="shared" si="2"/>
        <v>1800</v>
      </c>
      <c r="I9" s="28">
        <v>1800</v>
      </c>
      <c r="J9" s="28">
        <f t="shared" si="3"/>
        <v>0</v>
      </c>
      <c r="K9" s="32"/>
      <c r="L9" s="40">
        <f t="shared" si="4"/>
        <v>1800</v>
      </c>
      <c r="M9" s="52">
        <v>7</v>
      </c>
      <c r="N9" s="5" t="s">
        <v>634</v>
      </c>
      <c r="O9" s="33" t="s">
        <v>588</v>
      </c>
      <c r="P9" s="33">
        <v>7800</v>
      </c>
      <c r="Q9" s="33">
        <v>14300</v>
      </c>
      <c r="R9" s="28">
        <v>14300</v>
      </c>
      <c r="S9" s="86">
        <f>+Q9-R9</f>
        <v>0</v>
      </c>
      <c r="T9" s="1"/>
      <c r="U9" s="158" t="s">
        <v>467</v>
      </c>
      <c r="V9" s="19"/>
      <c r="W9" s="39"/>
      <c r="X9" s="4"/>
      <c r="Y9" s="65"/>
      <c r="Z9" s="150"/>
    </row>
    <row r="10" spans="1:26" ht="37.950000000000003" customHeight="1" thickBot="1">
      <c r="A10" s="33">
        <v>8</v>
      </c>
      <c r="B10" s="5" t="s">
        <v>146</v>
      </c>
      <c r="C10" s="5" t="s">
        <v>24</v>
      </c>
      <c r="D10" s="32"/>
      <c r="E10" s="32"/>
      <c r="F10" s="33">
        <v>1750</v>
      </c>
      <c r="G10" s="200"/>
      <c r="H10" s="33">
        <f t="shared" si="2"/>
        <v>3500</v>
      </c>
      <c r="I10" s="28">
        <v>3500</v>
      </c>
      <c r="J10" s="28">
        <f t="shared" si="3"/>
        <v>0</v>
      </c>
      <c r="K10" s="32"/>
      <c r="L10" s="40">
        <f t="shared" si="4"/>
        <v>3500</v>
      </c>
      <c r="M10" s="52">
        <v>8</v>
      </c>
      <c r="N10" s="5" t="s">
        <v>856</v>
      </c>
      <c r="O10" s="33" t="s">
        <v>588</v>
      </c>
      <c r="P10" s="33">
        <v>6500</v>
      </c>
      <c r="Q10" s="33">
        <f t="shared" si="0"/>
        <v>13000</v>
      </c>
      <c r="R10" s="28">
        <v>13000</v>
      </c>
      <c r="S10" s="86">
        <f>+Q10-R10</f>
        <v>0</v>
      </c>
      <c r="T10" s="1"/>
      <c r="U10" s="500" t="s">
        <v>3</v>
      </c>
      <c r="V10" s="501"/>
      <c r="W10" s="501"/>
      <c r="X10" s="159">
        <f>SUM(X4:X9)</f>
        <v>36000</v>
      </c>
      <c r="Y10" s="160"/>
      <c r="Z10" s="161"/>
    </row>
    <row r="11" spans="1:26" ht="37.950000000000003" customHeight="1" thickBot="1">
      <c r="A11" s="33">
        <v>9</v>
      </c>
      <c r="B11" s="5" t="s">
        <v>861</v>
      </c>
      <c r="C11" s="5" t="s">
        <v>862</v>
      </c>
      <c r="D11" s="32"/>
      <c r="E11" s="32"/>
      <c r="F11" s="33">
        <v>1750</v>
      </c>
      <c r="G11" s="200"/>
      <c r="H11" s="33">
        <f t="shared" si="2"/>
        <v>3500</v>
      </c>
      <c r="I11" s="28">
        <v>3500</v>
      </c>
      <c r="J11" s="28">
        <f t="shared" si="3"/>
        <v>0</v>
      </c>
      <c r="K11" s="32"/>
      <c r="L11" s="40">
        <f t="shared" si="4"/>
        <v>3500</v>
      </c>
      <c r="M11" s="52">
        <v>9</v>
      </c>
      <c r="N11" s="5" t="s">
        <v>836</v>
      </c>
      <c r="O11" s="33" t="s">
        <v>837</v>
      </c>
      <c r="P11" s="33">
        <v>6000</v>
      </c>
      <c r="Q11" s="33">
        <f t="shared" si="0"/>
        <v>12000</v>
      </c>
      <c r="R11" s="28">
        <v>12000</v>
      </c>
      <c r="S11" s="86">
        <f t="shared" si="1"/>
        <v>0</v>
      </c>
      <c r="T11" s="1"/>
      <c r="U11" s="29" t="s">
        <v>55</v>
      </c>
      <c r="V11" s="30"/>
      <c r="W11" s="30"/>
      <c r="X11" s="8"/>
      <c r="Y11" s="8"/>
      <c r="Z11" s="8"/>
    </row>
    <row r="12" spans="1:26" ht="35.4" customHeight="1">
      <c r="A12" s="33">
        <v>10</v>
      </c>
      <c r="B12" s="5" t="s">
        <v>924</v>
      </c>
      <c r="C12" s="5" t="s">
        <v>863</v>
      </c>
      <c r="D12" s="32"/>
      <c r="E12" s="32"/>
      <c r="F12" s="33">
        <v>1750</v>
      </c>
      <c r="G12" s="200"/>
      <c r="H12" s="33">
        <f t="shared" si="2"/>
        <v>3500</v>
      </c>
      <c r="I12" s="28">
        <v>3500</v>
      </c>
      <c r="J12" s="28">
        <f t="shared" si="3"/>
        <v>0</v>
      </c>
      <c r="K12" s="32"/>
      <c r="L12" s="40">
        <f t="shared" si="4"/>
        <v>3500</v>
      </c>
      <c r="M12" s="52">
        <v>10</v>
      </c>
      <c r="N12" s="5" t="s">
        <v>907</v>
      </c>
      <c r="O12" s="33" t="s">
        <v>588</v>
      </c>
      <c r="P12" s="33">
        <v>4000</v>
      </c>
      <c r="Q12" s="33">
        <v>5000</v>
      </c>
      <c r="R12" s="28">
        <v>5000</v>
      </c>
      <c r="S12" s="86">
        <f t="shared" si="1"/>
        <v>0</v>
      </c>
      <c r="T12" s="1"/>
      <c r="U12" s="49" t="s">
        <v>11</v>
      </c>
      <c r="V12" s="50" t="s">
        <v>88</v>
      </c>
      <c r="W12" s="50" t="s">
        <v>89</v>
      </c>
      <c r="X12" s="50" t="s">
        <v>90</v>
      </c>
      <c r="Y12" s="58" t="s">
        <v>91</v>
      </c>
      <c r="Z12" s="59" t="s">
        <v>87</v>
      </c>
    </row>
    <row r="13" spans="1:26" ht="35.4" customHeight="1">
      <c r="A13" s="33">
        <v>11</v>
      </c>
      <c r="B13" s="5" t="s">
        <v>925</v>
      </c>
      <c r="C13" s="5" t="s">
        <v>9</v>
      </c>
      <c r="D13" s="32"/>
      <c r="E13" s="32"/>
      <c r="F13" s="33">
        <v>1750</v>
      </c>
      <c r="G13" s="200"/>
      <c r="H13" s="33">
        <f t="shared" si="2"/>
        <v>3500</v>
      </c>
      <c r="I13" s="28">
        <v>3500</v>
      </c>
      <c r="J13" s="28">
        <f t="shared" si="3"/>
        <v>0</v>
      </c>
      <c r="K13" s="32"/>
      <c r="L13" s="40">
        <f t="shared" si="4"/>
        <v>3500</v>
      </c>
      <c r="M13" s="52">
        <v>11</v>
      </c>
      <c r="N13" s="5" t="s">
        <v>589</v>
      </c>
      <c r="O13" s="33" t="s">
        <v>590</v>
      </c>
      <c r="P13" s="33">
        <v>6000</v>
      </c>
      <c r="Q13" s="33">
        <f t="shared" si="0"/>
        <v>12000</v>
      </c>
      <c r="R13" s="28">
        <v>12000</v>
      </c>
      <c r="S13" s="86">
        <f>+Q13-R13</f>
        <v>0</v>
      </c>
      <c r="T13" s="1"/>
      <c r="U13" s="52">
        <v>1</v>
      </c>
      <c r="V13" s="12">
        <v>45807</v>
      </c>
      <c r="W13" s="12" t="s">
        <v>506</v>
      </c>
      <c r="X13" s="2">
        <v>1000</v>
      </c>
      <c r="Y13" s="14" t="s">
        <v>955</v>
      </c>
      <c r="Z13" s="60" t="s">
        <v>82</v>
      </c>
    </row>
    <row r="14" spans="1:26" ht="27.6" customHeight="1">
      <c r="A14" s="33">
        <v>12</v>
      </c>
      <c r="B14" s="5" t="s">
        <v>688</v>
      </c>
      <c r="C14" s="5" t="s">
        <v>868</v>
      </c>
      <c r="D14" s="32"/>
      <c r="E14" s="32"/>
      <c r="F14" s="33">
        <v>1750</v>
      </c>
      <c r="G14" s="200"/>
      <c r="H14" s="33">
        <f t="shared" si="2"/>
        <v>3500</v>
      </c>
      <c r="I14" s="28">
        <v>3500</v>
      </c>
      <c r="J14" s="28">
        <f t="shared" si="3"/>
        <v>0</v>
      </c>
      <c r="K14" s="32"/>
      <c r="L14" s="40">
        <f t="shared" si="4"/>
        <v>3500</v>
      </c>
      <c r="M14" s="52">
        <v>12</v>
      </c>
      <c r="N14" s="5" t="s">
        <v>635</v>
      </c>
      <c r="O14" s="33" t="s">
        <v>504</v>
      </c>
      <c r="P14" s="33">
        <v>5500</v>
      </c>
      <c r="Q14" s="33">
        <f t="shared" si="0"/>
        <v>11000</v>
      </c>
      <c r="R14" s="28">
        <v>11000</v>
      </c>
      <c r="S14" s="86">
        <f>+Q14-R14</f>
        <v>0</v>
      </c>
      <c r="T14" s="1"/>
      <c r="U14" s="52">
        <v>2</v>
      </c>
      <c r="V14" s="12">
        <v>45807</v>
      </c>
      <c r="W14" s="12" t="s">
        <v>506</v>
      </c>
      <c r="X14" s="2">
        <f>3000+2000+1800+1400+1400</f>
        <v>9600</v>
      </c>
      <c r="Y14" s="14" t="s">
        <v>956</v>
      </c>
      <c r="Z14" s="60" t="s">
        <v>82</v>
      </c>
    </row>
    <row r="15" spans="1:26" ht="27.6" customHeight="1">
      <c r="A15" s="33">
        <v>13</v>
      </c>
      <c r="B15" s="5" t="s">
        <v>452</v>
      </c>
      <c r="C15" s="5"/>
      <c r="D15" s="32"/>
      <c r="E15" s="32"/>
      <c r="F15" s="33">
        <v>900</v>
      </c>
      <c r="G15" s="200"/>
      <c r="H15" s="33">
        <f t="shared" si="2"/>
        <v>1800</v>
      </c>
      <c r="I15" s="28">
        <v>1800</v>
      </c>
      <c r="J15" s="28">
        <f t="shared" si="3"/>
        <v>0</v>
      </c>
      <c r="K15" s="32"/>
      <c r="L15" s="40">
        <f t="shared" si="4"/>
        <v>1800</v>
      </c>
      <c r="M15" s="52">
        <v>13</v>
      </c>
      <c r="N15" s="5" t="s">
        <v>857</v>
      </c>
      <c r="O15" s="33" t="s">
        <v>416</v>
      </c>
      <c r="P15" s="33">
        <v>5000</v>
      </c>
      <c r="Q15" s="33">
        <f t="shared" si="0"/>
        <v>10000</v>
      </c>
      <c r="R15" s="28">
        <v>10000</v>
      </c>
      <c r="S15" s="86">
        <f t="shared" si="1"/>
        <v>0</v>
      </c>
      <c r="T15" s="1"/>
      <c r="U15" s="52">
        <v>3</v>
      </c>
      <c r="V15" s="12"/>
      <c r="W15" s="12"/>
      <c r="X15" s="16"/>
      <c r="Y15" s="14"/>
      <c r="Z15" s="60"/>
    </row>
    <row r="16" spans="1:26" ht="27.6" customHeight="1" thickBot="1">
      <c r="A16" s="33">
        <v>14</v>
      </c>
      <c r="B16" s="5" t="s">
        <v>381</v>
      </c>
      <c r="C16" s="5"/>
      <c r="D16" s="32"/>
      <c r="E16" s="32"/>
      <c r="F16" s="33">
        <v>1750</v>
      </c>
      <c r="G16" s="200"/>
      <c r="H16" s="33">
        <f t="shared" si="2"/>
        <v>3500</v>
      </c>
      <c r="I16" s="28">
        <v>3500</v>
      </c>
      <c r="J16" s="28">
        <f t="shared" si="3"/>
        <v>0</v>
      </c>
      <c r="K16" s="32"/>
      <c r="L16" s="40">
        <f t="shared" si="4"/>
        <v>3500</v>
      </c>
      <c r="M16" s="192" t="s">
        <v>3</v>
      </c>
      <c r="N16" s="193"/>
      <c r="O16" s="193"/>
      <c r="P16" s="90">
        <f>SUM(P3:P15)</f>
        <v>94400</v>
      </c>
      <c r="Q16" s="90">
        <f>SUM(Q3:Q15)</f>
        <v>183750</v>
      </c>
      <c r="R16" s="90">
        <f>SUM(R3:R15)</f>
        <v>183750</v>
      </c>
      <c r="S16" s="55">
        <f>SUM(S3:S15)</f>
        <v>0</v>
      </c>
      <c r="T16" s="1"/>
      <c r="U16" s="52">
        <v>4</v>
      </c>
      <c r="V16" s="12"/>
      <c r="W16" s="15"/>
      <c r="X16" s="16"/>
      <c r="Y16" s="14"/>
      <c r="Z16" s="60"/>
    </row>
    <row r="17" spans="1:26" ht="27.6" customHeight="1">
      <c r="A17" s="33">
        <v>15</v>
      </c>
      <c r="B17" s="5" t="s">
        <v>869</v>
      </c>
      <c r="C17" s="5"/>
      <c r="D17" s="32"/>
      <c r="E17" s="32"/>
      <c r="F17" s="33">
        <v>900</v>
      </c>
      <c r="G17" s="200"/>
      <c r="H17" s="33">
        <f t="shared" si="2"/>
        <v>1800</v>
      </c>
      <c r="I17" s="28">
        <v>1800</v>
      </c>
      <c r="J17" s="28">
        <f t="shared" si="3"/>
        <v>0</v>
      </c>
      <c r="K17" s="32"/>
      <c r="L17" s="40">
        <f t="shared" si="4"/>
        <v>1800</v>
      </c>
      <c r="R17" s="121"/>
      <c r="T17" s="1"/>
      <c r="U17" s="52">
        <v>5</v>
      </c>
      <c r="V17" s="12"/>
      <c r="W17" s="15"/>
      <c r="X17" s="16"/>
      <c r="Y17" s="149"/>
      <c r="Z17" s="60"/>
    </row>
    <row r="18" spans="1:26" ht="27.6" customHeight="1">
      <c r="A18" s="33">
        <v>16</v>
      </c>
      <c r="B18" s="5" t="s">
        <v>870</v>
      </c>
      <c r="C18" s="5"/>
      <c r="D18" s="32"/>
      <c r="E18" s="32"/>
      <c r="F18" s="33">
        <v>1750</v>
      </c>
      <c r="G18" s="200"/>
      <c r="H18" s="33">
        <f t="shared" si="2"/>
        <v>3500</v>
      </c>
      <c r="I18" s="28">
        <v>3500</v>
      </c>
      <c r="J18" s="28">
        <f t="shared" si="3"/>
        <v>0</v>
      </c>
      <c r="K18" s="32"/>
      <c r="L18" s="40">
        <f t="shared" si="4"/>
        <v>3500</v>
      </c>
      <c r="R18" s="44"/>
      <c r="S18" s="44"/>
      <c r="T18" s="1"/>
      <c r="U18" s="52"/>
      <c r="V18" s="12"/>
      <c r="W18" s="15"/>
      <c r="X18" s="16"/>
      <c r="Y18" s="14"/>
      <c r="Z18" s="60"/>
    </row>
    <row r="19" spans="1:26" ht="33" customHeight="1">
      <c r="A19" s="33">
        <v>17</v>
      </c>
      <c r="B19" s="5" t="s">
        <v>871</v>
      </c>
      <c r="C19" s="5"/>
      <c r="D19" s="32"/>
      <c r="E19" s="32"/>
      <c r="F19" s="33">
        <v>900</v>
      </c>
      <c r="G19" s="200"/>
      <c r="H19" s="33">
        <f t="shared" si="2"/>
        <v>1800</v>
      </c>
      <c r="I19" s="28">
        <v>1800</v>
      </c>
      <c r="J19" s="28">
        <f t="shared" si="3"/>
        <v>0</v>
      </c>
      <c r="K19" s="32"/>
      <c r="L19" s="40">
        <f t="shared" si="4"/>
        <v>1800</v>
      </c>
      <c r="T19" s="1"/>
      <c r="U19" s="52"/>
      <c r="V19" s="12"/>
      <c r="W19" s="15"/>
      <c r="X19" s="16"/>
      <c r="Y19" s="14"/>
      <c r="Z19" s="60"/>
    </row>
    <row r="20" spans="1:26" ht="27.6" customHeight="1">
      <c r="A20" s="33">
        <v>18</v>
      </c>
      <c r="B20" s="5" t="s">
        <v>872</v>
      </c>
      <c r="C20" s="5"/>
      <c r="D20" s="32"/>
      <c r="E20" s="32"/>
      <c r="F20" s="33">
        <v>1750</v>
      </c>
      <c r="G20" s="200"/>
      <c r="H20" s="33">
        <f t="shared" si="2"/>
        <v>3500</v>
      </c>
      <c r="I20" s="28">
        <v>3500</v>
      </c>
      <c r="J20" s="28">
        <f t="shared" si="3"/>
        <v>0</v>
      </c>
      <c r="K20" s="32"/>
      <c r="L20" s="40">
        <f t="shared" si="4"/>
        <v>3500</v>
      </c>
      <c r="T20" s="1"/>
      <c r="U20" s="52"/>
      <c r="V20" s="12"/>
      <c r="W20" s="15"/>
      <c r="X20" s="16"/>
      <c r="Y20" s="14"/>
      <c r="Z20" s="60"/>
    </row>
    <row r="21" spans="1:26" ht="37.200000000000003" customHeight="1">
      <c r="A21" s="33">
        <v>19</v>
      </c>
      <c r="B21" s="5" t="s">
        <v>873</v>
      </c>
      <c r="C21" s="5"/>
      <c r="D21" s="32"/>
      <c r="E21" s="32"/>
      <c r="F21" s="33">
        <v>900</v>
      </c>
      <c r="G21" s="200"/>
      <c r="H21" s="33">
        <f t="shared" si="2"/>
        <v>1800</v>
      </c>
      <c r="I21" s="28">
        <v>1800</v>
      </c>
      <c r="J21" s="28">
        <f t="shared" si="3"/>
        <v>0</v>
      </c>
      <c r="K21" s="32"/>
      <c r="L21" s="40">
        <f t="shared" si="4"/>
        <v>1800</v>
      </c>
      <c r="T21" s="1"/>
      <c r="U21" s="52"/>
      <c r="V21" s="12"/>
      <c r="W21" s="15"/>
      <c r="X21" s="16"/>
      <c r="Y21" s="14"/>
      <c r="Z21" s="60"/>
    </row>
    <row r="22" spans="1:26" ht="36.6" customHeight="1">
      <c r="A22" s="33">
        <v>20</v>
      </c>
      <c r="B22" s="5" t="s">
        <v>874</v>
      </c>
      <c r="C22" s="5"/>
      <c r="D22" s="32"/>
      <c r="E22" s="32"/>
      <c r="F22" s="33">
        <v>1750</v>
      </c>
      <c r="G22" s="200"/>
      <c r="H22" s="33">
        <f t="shared" si="2"/>
        <v>3500</v>
      </c>
      <c r="I22" s="28">
        <v>3500</v>
      </c>
      <c r="J22" s="28">
        <f t="shared" si="3"/>
        <v>0</v>
      </c>
      <c r="K22" s="32"/>
      <c r="L22" s="40">
        <f t="shared" si="4"/>
        <v>3500</v>
      </c>
      <c r="T22" s="1"/>
      <c r="U22" s="52"/>
      <c r="V22" s="12"/>
      <c r="W22" s="15"/>
      <c r="X22" s="16"/>
      <c r="Y22" s="14"/>
      <c r="Z22" s="60"/>
    </row>
    <row r="23" spans="1:26" ht="22.2" customHeight="1" thickBot="1">
      <c r="A23" s="33">
        <v>21</v>
      </c>
      <c r="B23" s="5" t="s">
        <v>875</v>
      </c>
      <c r="C23" s="5"/>
      <c r="D23" s="32"/>
      <c r="E23" s="32"/>
      <c r="F23" s="33">
        <v>900</v>
      </c>
      <c r="G23" s="200"/>
      <c r="H23" s="33">
        <f t="shared" si="2"/>
        <v>1800</v>
      </c>
      <c r="I23" s="28">
        <v>1800</v>
      </c>
      <c r="J23" s="28">
        <f t="shared" si="3"/>
        <v>0</v>
      </c>
      <c r="K23" s="32"/>
      <c r="L23" s="40">
        <f t="shared" si="4"/>
        <v>1800</v>
      </c>
      <c r="T23" s="1"/>
      <c r="U23" s="503" t="s">
        <v>92</v>
      </c>
      <c r="V23" s="504"/>
      <c r="W23" s="504"/>
      <c r="X23" s="61">
        <f>SUM(X10:X22)</f>
        <v>46600</v>
      </c>
      <c r="Y23" s="62"/>
      <c r="Z23" s="63"/>
    </row>
    <row r="24" spans="1:26" ht="27.6" customHeight="1">
      <c r="A24" s="33">
        <v>22</v>
      </c>
      <c r="B24" s="5" t="s">
        <v>876</v>
      </c>
      <c r="C24" s="74"/>
      <c r="D24" s="32"/>
      <c r="E24" s="32"/>
      <c r="F24" s="33">
        <v>900</v>
      </c>
      <c r="G24" s="200"/>
      <c r="H24" s="33">
        <f t="shared" si="2"/>
        <v>1800</v>
      </c>
      <c r="I24" s="28">
        <v>1800</v>
      </c>
      <c r="J24" s="28">
        <f t="shared" si="3"/>
        <v>0</v>
      </c>
      <c r="K24" s="32"/>
      <c r="L24" s="40">
        <f t="shared" si="4"/>
        <v>1800</v>
      </c>
      <c r="T24" s="1"/>
      <c r="Z24" s="30"/>
    </row>
    <row r="25" spans="1:26" ht="27.6" customHeight="1">
      <c r="A25" s="33">
        <v>23</v>
      </c>
      <c r="B25" s="5" t="s">
        <v>895</v>
      </c>
      <c r="C25" s="34" t="s">
        <v>892</v>
      </c>
      <c r="D25" s="32"/>
      <c r="E25" s="32"/>
      <c r="F25" s="33">
        <v>1750</v>
      </c>
      <c r="G25" s="200"/>
      <c r="H25" s="33">
        <f t="shared" si="2"/>
        <v>3500</v>
      </c>
      <c r="I25" s="28">
        <v>3500</v>
      </c>
      <c r="J25" s="28">
        <f t="shared" si="3"/>
        <v>0</v>
      </c>
      <c r="K25" s="32"/>
      <c r="L25" s="40">
        <f t="shared" si="4"/>
        <v>3500</v>
      </c>
      <c r="T25" s="1"/>
      <c r="U25" s="36" t="s">
        <v>159</v>
      </c>
      <c r="V25" s="36"/>
      <c r="W25" s="36"/>
      <c r="X25" s="36"/>
      <c r="Y25" s="36"/>
      <c r="Z25" s="30"/>
    </row>
    <row r="26" spans="1:26" ht="27.6" customHeight="1">
      <c r="A26" s="33">
        <v>24</v>
      </c>
      <c r="B26" s="5" t="s">
        <v>926</v>
      </c>
      <c r="C26" s="34" t="s">
        <v>894</v>
      </c>
      <c r="D26" s="32"/>
      <c r="E26" s="32"/>
      <c r="F26" s="33">
        <v>1750</v>
      </c>
      <c r="G26" s="200"/>
      <c r="H26" s="33">
        <f t="shared" si="2"/>
        <v>3500</v>
      </c>
      <c r="I26" s="28">
        <v>3500</v>
      </c>
      <c r="J26" s="28">
        <f t="shared" si="3"/>
        <v>0</v>
      </c>
      <c r="K26" s="32"/>
      <c r="L26" s="40">
        <f t="shared" si="4"/>
        <v>3500</v>
      </c>
      <c r="T26" s="1"/>
      <c r="U26" s="106" t="s">
        <v>160</v>
      </c>
      <c r="V26" s="96" t="s">
        <v>162</v>
      </c>
      <c r="W26" s="96" t="s">
        <v>183</v>
      </c>
      <c r="X26" s="106" t="s">
        <v>153</v>
      </c>
      <c r="Y26" s="9" t="s">
        <v>161</v>
      </c>
      <c r="Z26" s="30"/>
    </row>
    <row r="27" spans="1:26" ht="36" customHeight="1">
      <c r="A27" s="33">
        <v>25</v>
      </c>
      <c r="B27" s="5" t="s">
        <v>902</v>
      </c>
      <c r="C27" s="34" t="s">
        <v>896</v>
      </c>
      <c r="D27" s="32"/>
      <c r="E27" s="32"/>
      <c r="F27" s="33">
        <v>900</v>
      </c>
      <c r="G27" s="200"/>
      <c r="H27" s="33">
        <f t="shared" si="2"/>
        <v>1800</v>
      </c>
      <c r="I27" s="28">
        <v>1800</v>
      </c>
      <c r="J27" s="28">
        <f t="shared" si="3"/>
        <v>0</v>
      </c>
      <c r="K27" s="32"/>
      <c r="L27" s="40">
        <f t="shared" si="4"/>
        <v>1800</v>
      </c>
      <c r="T27" s="1"/>
      <c r="U27" s="33">
        <v>1</v>
      </c>
      <c r="V27" s="5"/>
      <c r="W27" s="5"/>
      <c r="X27" s="3"/>
      <c r="Y27" s="5"/>
      <c r="Z27" s="30"/>
    </row>
    <row r="28" spans="1:26" ht="33" customHeight="1">
      <c r="A28" s="33">
        <v>26</v>
      </c>
      <c r="B28" s="5" t="s">
        <v>904</v>
      </c>
      <c r="C28" s="34" t="s">
        <v>898</v>
      </c>
      <c r="D28" s="32"/>
      <c r="E28" s="32"/>
      <c r="F28" s="33">
        <v>1750</v>
      </c>
      <c r="G28" s="200"/>
      <c r="H28" s="33">
        <f t="shared" si="2"/>
        <v>3500</v>
      </c>
      <c r="I28" s="28">
        <v>3500</v>
      </c>
      <c r="J28" s="28">
        <f t="shared" si="3"/>
        <v>0</v>
      </c>
      <c r="K28" s="32"/>
      <c r="L28" s="40">
        <f t="shared" si="4"/>
        <v>3500</v>
      </c>
      <c r="T28" s="1"/>
      <c r="U28" s="33">
        <v>2</v>
      </c>
      <c r="V28" s="5"/>
      <c r="W28" s="5"/>
      <c r="X28" s="3"/>
      <c r="Y28" s="5"/>
      <c r="Z28" s="30"/>
    </row>
    <row r="29" spans="1:26" ht="33" customHeight="1">
      <c r="A29" s="33">
        <v>27</v>
      </c>
      <c r="B29" s="5" t="s">
        <v>927</v>
      </c>
      <c r="C29" s="34" t="s">
        <v>899</v>
      </c>
      <c r="D29" s="32"/>
      <c r="E29" s="32"/>
      <c r="F29" s="33">
        <v>1750</v>
      </c>
      <c r="G29" s="200"/>
      <c r="H29" s="33">
        <f t="shared" si="2"/>
        <v>3500</v>
      </c>
      <c r="I29" s="28">
        <v>3500</v>
      </c>
      <c r="J29" s="28">
        <f t="shared" si="3"/>
        <v>0</v>
      </c>
      <c r="K29" s="32"/>
      <c r="L29" s="40">
        <f t="shared" si="4"/>
        <v>3500</v>
      </c>
      <c r="T29" s="1"/>
      <c r="U29" s="33">
        <v>3</v>
      </c>
      <c r="V29" s="27"/>
      <c r="W29" s="27"/>
      <c r="X29" s="5"/>
      <c r="Y29" s="5"/>
      <c r="Z29" s="30"/>
    </row>
    <row r="30" spans="1:26" ht="33" customHeight="1">
      <c r="A30" s="33">
        <v>28</v>
      </c>
      <c r="B30" s="5" t="s">
        <v>68</v>
      </c>
      <c r="C30" s="34" t="s">
        <v>900</v>
      </c>
      <c r="D30" s="32"/>
      <c r="E30" s="32"/>
      <c r="F30" s="33">
        <v>900</v>
      </c>
      <c r="G30" s="200"/>
      <c r="H30" s="33">
        <f t="shared" si="2"/>
        <v>1800</v>
      </c>
      <c r="I30" s="28">
        <v>1800</v>
      </c>
      <c r="J30" s="28">
        <f t="shared" si="3"/>
        <v>0</v>
      </c>
      <c r="K30" s="32"/>
      <c r="L30" s="40">
        <f t="shared" si="4"/>
        <v>1800</v>
      </c>
      <c r="T30" s="1"/>
      <c r="U30" s="33">
        <v>4</v>
      </c>
      <c r="V30" s="27"/>
      <c r="W30" s="27"/>
      <c r="X30" s="5"/>
      <c r="Y30" s="27"/>
      <c r="Z30" s="30"/>
    </row>
    <row r="31" spans="1:26" ht="33" customHeight="1">
      <c r="A31" s="33">
        <v>29</v>
      </c>
      <c r="B31" s="5" t="s">
        <v>891</v>
      </c>
      <c r="C31" s="34" t="s">
        <v>688</v>
      </c>
      <c r="D31" s="32"/>
      <c r="E31" s="32"/>
      <c r="F31" s="33">
        <v>1750</v>
      </c>
      <c r="G31" s="200"/>
      <c r="H31" s="33">
        <f t="shared" si="2"/>
        <v>3500</v>
      </c>
      <c r="I31" s="28">
        <v>3500</v>
      </c>
      <c r="J31" s="28">
        <f t="shared" si="3"/>
        <v>0</v>
      </c>
      <c r="K31" s="32"/>
      <c r="L31" s="40">
        <f t="shared" si="4"/>
        <v>3500</v>
      </c>
      <c r="T31" s="1"/>
      <c r="U31" s="33">
        <v>5</v>
      </c>
      <c r="V31" s="27"/>
      <c r="W31" s="27"/>
      <c r="X31" s="5"/>
      <c r="Y31" s="27"/>
      <c r="Z31" s="30"/>
    </row>
    <row r="32" spans="1:26" ht="28.5" customHeight="1">
      <c r="A32" s="33">
        <v>30</v>
      </c>
      <c r="B32" s="5" t="s">
        <v>893</v>
      </c>
      <c r="C32" s="34" t="s">
        <v>903</v>
      </c>
      <c r="D32" s="32"/>
      <c r="E32" s="32"/>
      <c r="F32" s="33">
        <v>1750</v>
      </c>
      <c r="G32" s="200"/>
      <c r="H32" s="33">
        <f t="shared" si="2"/>
        <v>3500</v>
      </c>
      <c r="I32" s="28">
        <v>3500</v>
      </c>
      <c r="J32" s="28">
        <f t="shared" si="3"/>
        <v>0</v>
      </c>
      <c r="K32" s="32"/>
      <c r="L32" s="40">
        <f t="shared" si="4"/>
        <v>3500</v>
      </c>
      <c r="T32" s="1"/>
      <c r="U32" s="33">
        <v>6</v>
      </c>
      <c r="V32" s="27"/>
      <c r="W32" s="27"/>
      <c r="X32" s="27"/>
      <c r="Y32" s="27"/>
      <c r="Z32" s="30"/>
    </row>
    <row r="33" spans="1:26" ht="28.5" customHeight="1">
      <c r="A33" s="33">
        <v>31</v>
      </c>
      <c r="B33" s="5" t="s">
        <v>897</v>
      </c>
      <c r="C33" s="34" t="s">
        <v>905</v>
      </c>
      <c r="D33" s="32"/>
      <c r="E33" s="32"/>
      <c r="F33" s="33">
        <v>900</v>
      </c>
      <c r="G33" s="200"/>
      <c r="H33" s="33">
        <f t="shared" si="2"/>
        <v>1800</v>
      </c>
      <c r="I33" s="28">
        <v>1800</v>
      </c>
      <c r="J33" s="28">
        <f t="shared" si="3"/>
        <v>0</v>
      </c>
      <c r="K33" s="32"/>
      <c r="L33" s="40">
        <f t="shared" si="4"/>
        <v>1800</v>
      </c>
      <c r="T33" s="1"/>
      <c r="U33" s="33">
        <v>7</v>
      </c>
      <c r="V33" s="27"/>
      <c r="W33" s="27"/>
      <c r="X33" s="27"/>
      <c r="Y33" s="27"/>
      <c r="Z33" s="30"/>
    </row>
    <row r="34" spans="1:26" ht="33" customHeight="1">
      <c r="A34" s="33">
        <v>32</v>
      </c>
      <c r="B34" s="5" t="s">
        <v>901</v>
      </c>
      <c r="C34" s="34" t="s">
        <v>906</v>
      </c>
      <c r="D34" s="32"/>
      <c r="E34" s="32"/>
      <c r="F34" s="33">
        <v>900</v>
      </c>
      <c r="G34" s="200"/>
      <c r="H34" s="33">
        <f t="shared" si="2"/>
        <v>1800</v>
      </c>
      <c r="I34" s="28">
        <v>1800</v>
      </c>
      <c r="J34" s="28">
        <f t="shared" si="3"/>
        <v>0</v>
      </c>
      <c r="K34" s="32"/>
      <c r="L34" s="40">
        <f t="shared" si="4"/>
        <v>1800</v>
      </c>
      <c r="T34" s="1"/>
      <c r="U34" s="33">
        <v>8</v>
      </c>
      <c r="V34" s="27"/>
      <c r="W34" s="13"/>
      <c r="X34" s="27"/>
      <c r="Y34" s="27"/>
      <c r="Z34" s="30"/>
    </row>
    <row r="35" spans="1:26" ht="33" customHeight="1">
      <c r="A35" s="66">
        <v>33</v>
      </c>
      <c r="B35" s="174" t="s">
        <v>928</v>
      </c>
      <c r="C35" s="34"/>
      <c r="D35" s="32"/>
      <c r="E35" s="32"/>
      <c r="F35" s="201">
        <v>900</v>
      </c>
      <c r="G35" s="200"/>
      <c r="H35" s="33">
        <f t="shared" si="2"/>
        <v>1800</v>
      </c>
      <c r="I35" s="28">
        <v>0</v>
      </c>
      <c r="J35" s="28">
        <f t="shared" si="3"/>
        <v>1800</v>
      </c>
      <c r="K35" s="32"/>
      <c r="L35" s="40">
        <f t="shared" si="4"/>
        <v>3600</v>
      </c>
      <c r="T35" s="1"/>
      <c r="U35" s="33">
        <v>9</v>
      </c>
      <c r="V35" s="27"/>
      <c r="W35" s="27"/>
      <c r="X35" s="27"/>
      <c r="Y35" s="27"/>
      <c r="Z35" s="30"/>
    </row>
    <row r="36" spans="1:26" ht="36.6" customHeight="1">
      <c r="A36" s="94">
        <v>34</v>
      </c>
      <c r="B36" s="234" t="s">
        <v>929</v>
      </c>
      <c r="C36" s="235"/>
      <c r="D36" s="236"/>
      <c r="E36" s="236"/>
      <c r="F36" s="237">
        <v>750</v>
      </c>
      <c r="G36" s="200"/>
      <c r="H36" s="33">
        <f t="shared" si="2"/>
        <v>1500</v>
      </c>
      <c r="I36" s="28">
        <v>1500</v>
      </c>
      <c r="J36" s="28">
        <f t="shared" si="3"/>
        <v>0</v>
      </c>
      <c r="K36" s="236"/>
      <c r="L36" s="40">
        <f t="shared" si="4"/>
        <v>1500</v>
      </c>
      <c r="T36" s="1"/>
      <c r="U36" s="33">
        <v>10</v>
      </c>
      <c r="V36" s="27"/>
      <c r="W36" s="27"/>
      <c r="X36" s="27"/>
      <c r="Y36" s="27"/>
      <c r="Z36" s="30"/>
    </row>
    <row r="37" spans="1:26" ht="25.2" customHeight="1">
      <c r="A37" s="33"/>
      <c r="B37" s="5" t="s">
        <v>299</v>
      </c>
      <c r="C37" s="34" t="s">
        <v>487</v>
      </c>
      <c r="D37" s="32"/>
      <c r="E37" s="32"/>
      <c r="F37" s="33">
        <v>900</v>
      </c>
      <c r="G37" s="28"/>
      <c r="H37" s="33">
        <f t="shared" si="2"/>
        <v>1800</v>
      </c>
      <c r="I37" s="28">
        <v>1800</v>
      </c>
      <c r="J37" s="28">
        <f t="shared" si="3"/>
        <v>0</v>
      </c>
      <c r="K37" s="32"/>
      <c r="L37" s="40">
        <f t="shared" si="4"/>
        <v>1800</v>
      </c>
      <c r="T37" s="1"/>
      <c r="U37" s="33">
        <v>11</v>
      </c>
      <c r="V37" s="27"/>
      <c r="W37" s="27"/>
      <c r="X37" s="27"/>
      <c r="Y37" s="27"/>
      <c r="Z37" s="30"/>
    </row>
    <row r="38" spans="1:26" ht="35.4" customHeight="1">
      <c r="A38" s="506" t="s">
        <v>3</v>
      </c>
      <c r="B38" s="507"/>
      <c r="C38" s="507"/>
      <c r="D38" s="507"/>
      <c r="E38" s="508"/>
      <c r="F38" s="202">
        <f>SUM(F4:F37)</f>
        <v>46600</v>
      </c>
      <c r="G38" s="20"/>
      <c r="H38" s="202">
        <f>SUM(H4:H37)</f>
        <v>93200</v>
      </c>
      <c r="I38" s="202">
        <f>SUM(I4:I37)</f>
        <v>91400</v>
      </c>
      <c r="J38" s="202">
        <f>SUM(J4:J37)</f>
        <v>1800</v>
      </c>
      <c r="K38" s="238"/>
      <c r="L38" s="40"/>
      <c r="T38" s="1"/>
      <c r="U38" s="33">
        <v>12</v>
      </c>
      <c r="V38" s="27"/>
      <c r="W38" s="27"/>
      <c r="X38" s="27"/>
      <c r="Y38" s="27"/>
      <c r="Z38" s="30"/>
    </row>
    <row r="39" spans="1:26" ht="24.6" customHeight="1">
      <c r="A39" s="506" t="s">
        <v>930</v>
      </c>
      <c r="B39" s="507"/>
      <c r="C39" s="507"/>
      <c r="D39" s="507"/>
      <c r="E39" s="507"/>
      <c r="F39" s="507"/>
      <c r="G39" s="507"/>
      <c r="H39" s="507"/>
      <c r="I39" s="507"/>
      <c r="J39" s="507"/>
      <c r="K39" s="508"/>
      <c r="L39" s="40"/>
      <c r="T39" s="1"/>
      <c r="U39" s="33">
        <v>13</v>
      </c>
      <c r="V39" s="27"/>
      <c r="W39" s="27"/>
      <c r="X39" s="27"/>
      <c r="Y39" s="27"/>
    </row>
    <row r="40" spans="1:26" ht="30.6" customHeight="1">
      <c r="A40" s="106" t="s">
        <v>4</v>
      </c>
      <c r="B40" s="9" t="s">
        <v>6</v>
      </c>
      <c r="C40" s="106" t="s">
        <v>7</v>
      </c>
      <c r="D40" s="106" t="s">
        <v>0</v>
      </c>
      <c r="E40" s="96" t="s">
        <v>478</v>
      </c>
      <c r="F40" s="96" t="s">
        <v>5</v>
      </c>
      <c r="G40" s="74">
        <v>1500</v>
      </c>
      <c r="H40" s="96" t="s">
        <v>190</v>
      </c>
      <c r="I40" s="115" t="s">
        <v>819</v>
      </c>
      <c r="J40" s="96" t="s">
        <v>58</v>
      </c>
      <c r="K40" s="112" t="s">
        <v>145</v>
      </c>
      <c r="L40" s="45"/>
      <c r="M40" s="45"/>
      <c r="T40" s="1"/>
    </row>
    <row r="41" spans="1:26" ht="28.8" customHeight="1">
      <c r="A41" s="28">
        <v>1</v>
      </c>
      <c r="B41" s="14" t="s">
        <v>660</v>
      </c>
      <c r="C41" s="14" t="s">
        <v>661</v>
      </c>
      <c r="D41" s="28" t="s">
        <v>693</v>
      </c>
      <c r="E41" s="28" t="s">
        <v>694</v>
      </c>
      <c r="F41" s="176">
        <v>1750</v>
      </c>
      <c r="G41" s="40"/>
      <c r="H41" s="176">
        <f>+F41*2</f>
        <v>3500</v>
      </c>
      <c r="I41" s="28">
        <v>3500</v>
      </c>
      <c r="J41" s="134">
        <f>+H41-I41</f>
        <v>0</v>
      </c>
      <c r="K41" s="123"/>
      <c r="L41" s="45">
        <f>+J41+F41*2</f>
        <v>3500</v>
      </c>
      <c r="M41" s="45"/>
      <c r="T41" s="1"/>
    </row>
    <row r="42" spans="1:26" ht="17.399999999999999">
      <c r="A42" s="28">
        <v>2</v>
      </c>
      <c r="B42" s="14" t="s">
        <v>662</v>
      </c>
      <c r="C42" s="14" t="s">
        <v>663</v>
      </c>
      <c r="D42" s="28" t="s">
        <v>695</v>
      </c>
      <c r="E42" s="28" t="s">
        <v>696</v>
      </c>
      <c r="F42" s="176">
        <v>1750</v>
      </c>
      <c r="G42" s="40"/>
      <c r="H42" s="176">
        <f t="shared" ref="H42:H68" si="5">+F42*2</f>
        <v>3500</v>
      </c>
      <c r="I42" s="28">
        <v>3500</v>
      </c>
      <c r="J42" s="134">
        <f t="shared" ref="J42:J68" si="6">+H42-I42</f>
        <v>0</v>
      </c>
      <c r="K42" s="123"/>
      <c r="L42" s="45">
        <f t="shared" ref="L42:L68" si="7">+J42+F42*2</f>
        <v>3500</v>
      </c>
      <c r="M42" s="45"/>
      <c r="T42" s="1"/>
    </row>
    <row r="43" spans="1:26" ht="17.399999999999999">
      <c r="A43" s="28">
        <v>3</v>
      </c>
      <c r="B43" s="14" t="s">
        <v>664</v>
      </c>
      <c r="C43" s="14" t="s">
        <v>665</v>
      </c>
      <c r="D43" s="28" t="s">
        <v>715</v>
      </c>
      <c r="E43" s="122"/>
      <c r="F43" s="176">
        <v>1000</v>
      </c>
      <c r="G43" s="40"/>
      <c r="H43" s="176">
        <f t="shared" si="5"/>
        <v>2000</v>
      </c>
      <c r="I43" s="28">
        <v>2000</v>
      </c>
      <c r="J43" s="134">
        <f t="shared" si="6"/>
        <v>0</v>
      </c>
      <c r="K43" s="123"/>
      <c r="L43" s="45">
        <f t="shared" si="7"/>
        <v>2000</v>
      </c>
      <c r="M43" s="45"/>
      <c r="T43" s="1"/>
    </row>
    <row r="44" spans="1:26" ht="17.399999999999999">
      <c r="A44" s="28">
        <v>4</v>
      </c>
      <c r="B44" s="14" t="s">
        <v>32</v>
      </c>
      <c r="C44" s="14" t="s">
        <v>666</v>
      </c>
      <c r="D44" s="28" t="s">
        <v>697</v>
      </c>
      <c r="E44" s="122"/>
      <c r="F44" s="176">
        <v>1750</v>
      </c>
      <c r="G44" s="40"/>
      <c r="H44" s="176">
        <f t="shared" si="5"/>
        <v>3500</v>
      </c>
      <c r="I44" s="28">
        <v>0</v>
      </c>
      <c r="J44" s="134">
        <f t="shared" si="6"/>
        <v>3500</v>
      </c>
      <c r="K44" s="123"/>
      <c r="L44" s="45">
        <f t="shared" si="7"/>
        <v>7000</v>
      </c>
      <c r="M44" s="45"/>
      <c r="T44" s="1"/>
    </row>
    <row r="45" spans="1:26" ht="17.399999999999999">
      <c r="A45" s="28">
        <v>5</v>
      </c>
      <c r="B45" s="14" t="s">
        <v>667</v>
      </c>
      <c r="C45" s="14" t="s">
        <v>668</v>
      </c>
      <c r="D45" s="28" t="s">
        <v>698</v>
      </c>
      <c r="E45" s="122"/>
      <c r="F45" s="176">
        <v>900</v>
      </c>
      <c r="G45" s="40"/>
      <c r="H45" s="176">
        <f t="shared" si="5"/>
        <v>1800</v>
      </c>
      <c r="I45" s="28">
        <v>1800</v>
      </c>
      <c r="J45" s="134">
        <f t="shared" si="6"/>
        <v>0</v>
      </c>
      <c r="K45" s="123"/>
      <c r="L45" s="45">
        <f t="shared" si="7"/>
        <v>1800</v>
      </c>
      <c r="M45" s="45"/>
      <c r="T45" s="1"/>
    </row>
    <row r="46" spans="1:26" ht="24.6" customHeight="1">
      <c r="A46" s="28">
        <v>6</v>
      </c>
      <c r="B46" s="14" t="s">
        <v>669</v>
      </c>
      <c r="C46" s="14" t="s">
        <v>670</v>
      </c>
      <c r="D46" s="28" t="s">
        <v>699</v>
      </c>
      <c r="E46" s="122"/>
      <c r="F46" s="176">
        <v>1750</v>
      </c>
      <c r="G46" s="40"/>
      <c r="H46" s="176">
        <f t="shared" si="5"/>
        <v>3500</v>
      </c>
      <c r="I46" s="28">
        <v>3500</v>
      </c>
      <c r="J46" s="134">
        <f t="shared" si="6"/>
        <v>0</v>
      </c>
      <c r="K46" s="123"/>
      <c r="L46" s="45">
        <f t="shared" si="7"/>
        <v>3500</v>
      </c>
      <c r="M46" s="45"/>
      <c r="T46" s="1"/>
    </row>
    <row r="47" spans="1:26" ht="24.6" customHeight="1">
      <c r="A47" s="28">
        <v>7</v>
      </c>
      <c r="B47" s="14" t="s">
        <v>111</v>
      </c>
      <c r="C47" s="14" t="s">
        <v>668</v>
      </c>
      <c r="D47" s="28" t="s">
        <v>698</v>
      </c>
      <c r="E47" s="122"/>
      <c r="F47" s="176">
        <v>1750</v>
      </c>
      <c r="G47" s="40"/>
      <c r="H47" s="176">
        <f t="shared" si="5"/>
        <v>3500</v>
      </c>
      <c r="I47" s="28">
        <v>3500</v>
      </c>
      <c r="J47" s="134">
        <f t="shared" si="6"/>
        <v>0</v>
      </c>
      <c r="K47" s="123"/>
      <c r="L47" s="45">
        <f t="shared" si="7"/>
        <v>3500</v>
      </c>
      <c r="M47" s="45"/>
      <c r="T47" s="1"/>
    </row>
    <row r="48" spans="1:26" ht="27.6" customHeight="1">
      <c r="A48" s="28">
        <v>8</v>
      </c>
      <c r="B48" s="14" t="s">
        <v>672</v>
      </c>
      <c r="C48" s="14" t="s">
        <v>671</v>
      </c>
      <c r="D48" s="28" t="s">
        <v>700</v>
      </c>
      <c r="E48" s="122"/>
      <c r="F48" s="176">
        <v>1750</v>
      </c>
      <c r="G48" s="40"/>
      <c r="H48" s="176">
        <f t="shared" si="5"/>
        <v>3500</v>
      </c>
      <c r="I48" s="28">
        <v>3500</v>
      </c>
      <c r="J48" s="134">
        <f t="shared" si="6"/>
        <v>0</v>
      </c>
      <c r="K48" s="123"/>
      <c r="L48" s="45">
        <f t="shared" si="7"/>
        <v>3500</v>
      </c>
      <c r="M48" s="45"/>
      <c r="T48" s="1"/>
    </row>
    <row r="49" spans="1:20" ht="20.399999999999999" customHeight="1">
      <c r="A49" s="28">
        <v>9</v>
      </c>
      <c r="B49" s="14" t="s">
        <v>673</v>
      </c>
      <c r="C49" s="14" t="s">
        <v>574</v>
      </c>
      <c r="D49" s="28" t="s">
        <v>701</v>
      </c>
      <c r="E49" s="28" t="s">
        <v>702</v>
      </c>
      <c r="F49" s="176">
        <v>1750</v>
      </c>
      <c r="G49" s="40"/>
      <c r="H49" s="176">
        <f t="shared" si="5"/>
        <v>3500</v>
      </c>
      <c r="I49" s="28">
        <v>3500</v>
      </c>
      <c r="J49" s="134">
        <f t="shared" si="6"/>
        <v>0</v>
      </c>
      <c r="K49" s="123"/>
      <c r="L49" s="45">
        <f t="shared" si="7"/>
        <v>3500</v>
      </c>
      <c r="M49" s="45"/>
      <c r="T49" s="1"/>
    </row>
    <row r="50" spans="1:20" ht="29.4" customHeight="1">
      <c r="A50" s="28">
        <v>10</v>
      </c>
      <c r="B50" s="14" t="s">
        <v>674</v>
      </c>
      <c r="C50" s="14" t="s">
        <v>663</v>
      </c>
      <c r="D50" s="28" t="s">
        <v>703</v>
      </c>
      <c r="E50" s="28" t="s">
        <v>704</v>
      </c>
      <c r="F50" s="176">
        <v>1750</v>
      </c>
      <c r="G50" s="40"/>
      <c r="H50" s="176">
        <f t="shared" si="5"/>
        <v>3500</v>
      </c>
      <c r="I50" s="28">
        <v>3500</v>
      </c>
      <c r="J50" s="134">
        <f t="shared" si="6"/>
        <v>0</v>
      </c>
      <c r="K50" s="123"/>
      <c r="L50" s="45">
        <f t="shared" si="7"/>
        <v>3500</v>
      </c>
      <c r="M50" s="45"/>
      <c r="T50" s="1"/>
    </row>
    <row r="51" spans="1:20" ht="22.2" customHeight="1">
      <c r="A51" s="28">
        <v>11</v>
      </c>
      <c r="B51" s="14" t="s">
        <v>676</v>
      </c>
      <c r="C51" s="14" t="s">
        <v>675</v>
      </c>
      <c r="D51" s="28" t="s">
        <v>705</v>
      </c>
      <c r="E51" s="122"/>
      <c r="F51" s="176">
        <v>1750</v>
      </c>
      <c r="G51" s="40"/>
      <c r="H51" s="176">
        <f t="shared" si="5"/>
        <v>3500</v>
      </c>
      <c r="I51" s="28">
        <v>3500</v>
      </c>
      <c r="J51" s="134">
        <f t="shared" si="6"/>
        <v>0</v>
      </c>
      <c r="K51" s="123"/>
      <c r="L51" s="45">
        <f t="shared" si="7"/>
        <v>3500</v>
      </c>
      <c r="M51" s="45"/>
      <c r="T51" s="1"/>
    </row>
    <row r="52" spans="1:20" ht="27.6" customHeight="1">
      <c r="A52" s="28">
        <v>12</v>
      </c>
      <c r="B52" s="14" t="s">
        <v>678</v>
      </c>
      <c r="C52" s="14" t="s">
        <v>677</v>
      </c>
      <c r="D52" s="28" t="s">
        <v>706</v>
      </c>
      <c r="E52" s="122"/>
      <c r="F52" s="176">
        <v>900</v>
      </c>
      <c r="G52" s="40"/>
      <c r="H52" s="176">
        <f t="shared" si="5"/>
        <v>1800</v>
      </c>
      <c r="I52" s="28">
        <v>1800</v>
      </c>
      <c r="J52" s="134">
        <f t="shared" si="6"/>
        <v>0</v>
      </c>
      <c r="K52" s="123"/>
      <c r="L52" s="45">
        <f t="shared" si="7"/>
        <v>1800</v>
      </c>
      <c r="M52" s="45"/>
      <c r="T52" s="1"/>
    </row>
    <row r="53" spans="1:20" ht="22.2" customHeight="1">
      <c r="A53" s="28">
        <v>13</v>
      </c>
      <c r="B53" s="14" t="s">
        <v>680</v>
      </c>
      <c r="C53" s="14" t="s">
        <v>679</v>
      </c>
      <c r="D53" s="28" t="s">
        <v>707</v>
      </c>
      <c r="E53" s="122"/>
      <c r="F53" s="176">
        <v>900</v>
      </c>
      <c r="G53" s="40"/>
      <c r="H53" s="176">
        <f t="shared" si="5"/>
        <v>1800</v>
      </c>
      <c r="I53" s="28">
        <v>0</v>
      </c>
      <c r="J53" s="134">
        <f t="shared" si="6"/>
        <v>1800</v>
      </c>
      <c r="K53" s="142">
        <v>490</v>
      </c>
      <c r="L53" s="45">
        <f t="shared" si="7"/>
        <v>3600</v>
      </c>
      <c r="M53" s="45"/>
      <c r="T53" s="1"/>
    </row>
    <row r="54" spans="1:20" ht="22.2" customHeight="1">
      <c r="A54" s="28">
        <v>14</v>
      </c>
      <c r="B54" s="14" t="s">
        <v>682</v>
      </c>
      <c r="C54" s="14" t="s">
        <v>681</v>
      </c>
      <c r="D54" s="28" t="s">
        <v>708</v>
      </c>
      <c r="E54" s="122"/>
      <c r="F54" s="176">
        <v>1750</v>
      </c>
      <c r="G54" s="40"/>
      <c r="H54" s="176">
        <f t="shared" si="5"/>
        <v>3500</v>
      </c>
      <c r="I54" s="28">
        <v>3500</v>
      </c>
      <c r="J54" s="134">
        <f t="shared" si="6"/>
        <v>0</v>
      </c>
      <c r="K54" s="123"/>
      <c r="L54" s="45">
        <f t="shared" si="7"/>
        <v>3500</v>
      </c>
      <c r="M54" s="45"/>
      <c r="T54" s="1"/>
    </row>
    <row r="55" spans="1:20" ht="26.4" customHeight="1">
      <c r="A55" s="28">
        <v>15</v>
      </c>
      <c r="B55" s="14" t="s">
        <v>732</v>
      </c>
      <c r="C55" s="14" t="s">
        <v>683</v>
      </c>
      <c r="D55" s="28" t="s">
        <v>709</v>
      </c>
      <c r="E55" s="122"/>
      <c r="F55" s="176">
        <v>900</v>
      </c>
      <c r="G55" s="40"/>
      <c r="H55" s="176">
        <f t="shared" si="5"/>
        <v>1800</v>
      </c>
      <c r="I55" s="28">
        <v>1800</v>
      </c>
      <c r="J55" s="134">
        <f t="shared" si="6"/>
        <v>0</v>
      </c>
      <c r="K55" s="123"/>
      <c r="L55" s="45">
        <f t="shared" si="7"/>
        <v>1800</v>
      </c>
      <c r="M55" s="45"/>
      <c r="T55" s="1"/>
    </row>
    <row r="56" spans="1:20" ht="30.6" customHeight="1">
      <c r="A56" s="28">
        <v>16</v>
      </c>
      <c r="B56" s="14" t="s">
        <v>734</v>
      </c>
      <c r="C56" s="14" t="s">
        <v>733</v>
      </c>
      <c r="D56" s="28" t="s">
        <v>738</v>
      </c>
      <c r="E56" s="13"/>
      <c r="F56" s="176">
        <v>1750</v>
      </c>
      <c r="G56" s="40"/>
      <c r="H56" s="176">
        <f t="shared" si="5"/>
        <v>3500</v>
      </c>
      <c r="I56" s="28">
        <v>3500</v>
      </c>
      <c r="J56" s="134">
        <f t="shared" si="6"/>
        <v>0</v>
      </c>
      <c r="K56" s="32"/>
      <c r="L56" s="45">
        <f t="shared" si="7"/>
        <v>3500</v>
      </c>
      <c r="M56" s="45"/>
      <c r="T56" s="1"/>
    </row>
    <row r="57" spans="1:20" ht="22.2" customHeight="1">
      <c r="A57" s="28">
        <v>17</v>
      </c>
      <c r="B57" s="14" t="s">
        <v>736</v>
      </c>
      <c r="C57" s="14" t="s">
        <v>735</v>
      </c>
      <c r="D57" s="28" t="s">
        <v>739</v>
      </c>
      <c r="E57" s="13"/>
      <c r="F57" s="176">
        <v>900</v>
      </c>
      <c r="G57" s="40"/>
      <c r="H57" s="176">
        <f t="shared" si="5"/>
        <v>1800</v>
      </c>
      <c r="I57" s="28">
        <v>1800</v>
      </c>
      <c r="J57" s="134">
        <f t="shared" si="6"/>
        <v>0</v>
      </c>
      <c r="K57" s="32"/>
      <c r="L57" s="45">
        <f t="shared" si="7"/>
        <v>1800</v>
      </c>
      <c r="M57" s="45"/>
      <c r="T57" s="1"/>
    </row>
    <row r="58" spans="1:20" ht="33.6" customHeight="1">
      <c r="A58" s="28">
        <v>18</v>
      </c>
      <c r="B58" s="14" t="s">
        <v>741</v>
      </c>
      <c r="C58" s="14" t="s">
        <v>737</v>
      </c>
      <c r="D58" s="28" t="s">
        <v>740</v>
      </c>
      <c r="E58" s="13"/>
      <c r="F58" s="176">
        <v>900</v>
      </c>
      <c r="G58" s="40"/>
      <c r="H58" s="176">
        <f t="shared" si="5"/>
        <v>1800</v>
      </c>
      <c r="I58" s="28">
        <v>1800</v>
      </c>
      <c r="J58" s="134">
        <f t="shared" si="6"/>
        <v>0</v>
      </c>
      <c r="K58" s="32"/>
      <c r="L58" s="45">
        <f t="shared" si="7"/>
        <v>1800</v>
      </c>
      <c r="M58" s="45"/>
      <c r="N58" s="1"/>
      <c r="O58" s="1"/>
      <c r="P58" s="1"/>
      <c r="Q58" s="1"/>
      <c r="R58" s="1"/>
      <c r="S58" s="1"/>
      <c r="T58" s="1"/>
    </row>
    <row r="59" spans="1:20" ht="33.6" customHeight="1">
      <c r="A59" s="28">
        <v>19</v>
      </c>
      <c r="B59" s="14" t="s">
        <v>742</v>
      </c>
      <c r="C59" s="14" t="s">
        <v>601</v>
      </c>
      <c r="D59" s="28" t="s">
        <v>756</v>
      </c>
      <c r="E59" s="13"/>
      <c r="F59" s="176">
        <v>1750</v>
      </c>
      <c r="G59" s="40"/>
      <c r="H59" s="176">
        <f t="shared" si="5"/>
        <v>3500</v>
      </c>
      <c r="I59" s="28">
        <v>3500</v>
      </c>
      <c r="J59" s="134">
        <f t="shared" si="6"/>
        <v>0</v>
      </c>
      <c r="K59" s="32"/>
      <c r="L59" s="45">
        <f t="shared" si="7"/>
        <v>3500</v>
      </c>
      <c r="M59" s="45"/>
      <c r="N59" s="1"/>
      <c r="O59" s="1"/>
      <c r="P59" s="1"/>
      <c r="Q59" s="1"/>
      <c r="R59" s="1"/>
      <c r="S59" s="1"/>
      <c r="T59" s="1"/>
    </row>
    <row r="60" spans="1:20" ht="24.6" customHeight="1">
      <c r="A60" s="28">
        <v>20</v>
      </c>
      <c r="B60" s="14" t="s">
        <v>744</v>
      </c>
      <c r="C60" s="14" t="s">
        <v>743</v>
      </c>
      <c r="D60" s="28" t="s">
        <v>757</v>
      </c>
      <c r="E60" s="13"/>
      <c r="F60" s="176">
        <v>900</v>
      </c>
      <c r="G60" s="40"/>
      <c r="H60" s="176">
        <f t="shared" si="5"/>
        <v>1800</v>
      </c>
      <c r="I60" s="28">
        <v>1800</v>
      </c>
      <c r="J60" s="134">
        <f t="shared" si="6"/>
        <v>0</v>
      </c>
      <c r="K60" s="32"/>
      <c r="L60" s="45">
        <f t="shared" si="7"/>
        <v>1800</v>
      </c>
      <c r="M60" s="45"/>
      <c r="N60" s="1"/>
      <c r="O60" s="1"/>
      <c r="P60" s="1"/>
      <c r="Q60" s="1"/>
      <c r="R60" s="1"/>
      <c r="S60" s="1"/>
      <c r="T60" s="1"/>
    </row>
    <row r="61" spans="1:20" ht="32.25" customHeight="1">
      <c r="A61" s="28">
        <v>21</v>
      </c>
      <c r="B61" s="14" t="s">
        <v>746</v>
      </c>
      <c r="C61" s="14" t="s">
        <v>745</v>
      </c>
      <c r="D61" s="28" t="s">
        <v>758</v>
      </c>
      <c r="E61" s="13"/>
      <c r="F61" s="176">
        <v>900</v>
      </c>
      <c r="G61" s="40"/>
      <c r="H61" s="176">
        <f t="shared" si="5"/>
        <v>1800</v>
      </c>
      <c r="I61" s="28">
        <v>1800</v>
      </c>
      <c r="J61" s="134">
        <f t="shared" si="6"/>
        <v>0</v>
      </c>
      <c r="K61" s="32"/>
      <c r="L61" s="45">
        <f t="shared" si="7"/>
        <v>1800</v>
      </c>
      <c r="M61" s="45"/>
      <c r="N61" s="1"/>
      <c r="O61" s="1"/>
      <c r="P61" s="1"/>
      <c r="Q61" s="1"/>
      <c r="R61" s="1"/>
      <c r="S61" s="1"/>
      <c r="T61" s="1"/>
    </row>
    <row r="62" spans="1:20" ht="42" customHeight="1">
      <c r="A62" s="28">
        <v>22</v>
      </c>
      <c r="B62" s="14" t="s">
        <v>748</v>
      </c>
      <c r="C62" s="14" t="s">
        <v>747</v>
      </c>
      <c r="D62" s="28" t="s">
        <v>759</v>
      </c>
      <c r="E62" s="13"/>
      <c r="F62" s="176">
        <v>1750</v>
      </c>
      <c r="G62" s="40"/>
      <c r="H62" s="176">
        <f t="shared" si="5"/>
        <v>3500</v>
      </c>
      <c r="I62" s="28">
        <v>3500</v>
      </c>
      <c r="J62" s="134">
        <f t="shared" si="6"/>
        <v>0</v>
      </c>
      <c r="K62" s="32"/>
      <c r="L62" s="45">
        <f t="shared" si="7"/>
        <v>3500</v>
      </c>
      <c r="M62" s="45"/>
      <c r="N62" s="1"/>
      <c r="O62" s="1"/>
      <c r="P62" s="1"/>
      <c r="Q62" s="1"/>
      <c r="R62" s="1"/>
      <c r="S62" s="1"/>
      <c r="T62" s="1"/>
    </row>
    <row r="63" spans="1:20" ht="30" customHeight="1">
      <c r="A63" s="28">
        <v>23</v>
      </c>
      <c r="B63" s="14" t="s">
        <v>750</v>
      </c>
      <c r="C63" s="14" t="s">
        <v>749</v>
      </c>
      <c r="D63" s="28" t="s">
        <v>760</v>
      </c>
      <c r="E63" s="13"/>
      <c r="F63" s="176">
        <v>0</v>
      </c>
      <c r="G63" s="40"/>
      <c r="H63" s="176">
        <f t="shared" si="5"/>
        <v>0</v>
      </c>
      <c r="I63" s="348">
        <v>0</v>
      </c>
      <c r="J63" s="134">
        <f t="shared" si="6"/>
        <v>0</v>
      </c>
      <c r="K63" s="32"/>
      <c r="L63" s="45">
        <f t="shared" si="7"/>
        <v>0</v>
      </c>
      <c r="M63" s="45"/>
      <c r="N63" s="1"/>
      <c r="O63" s="1"/>
      <c r="P63" s="1"/>
      <c r="Q63" s="1"/>
      <c r="R63" s="1"/>
      <c r="S63" s="1"/>
      <c r="T63" s="1"/>
    </row>
    <row r="64" spans="1:20" ht="22.2" customHeight="1">
      <c r="A64" s="28">
        <v>24</v>
      </c>
      <c r="B64" s="14" t="s">
        <v>751</v>
      </c>
      <c r="C64" s="14" t="s">
        <v>545</v>
      </c>
      <c r="D64" s="28" t="s">
        <v>760</v>
      </c>
      <c r="E64" s="13"/>
      <c r="F64" s="176">
        <v>1750</v>
      </c>
      <c r="G64" s="40"/>
      <c r="H64" s="176">
        <f t="shared" si="5"/>
        <v>3500</v>
      </c>
      <c r="I64" s="28">
        <v>3500</v>
      </c>
      <c r="J64" s="134">
        <f t="shared" si="6"/>
        <v>0</v>
      </c>
      <c r="K64" s="32"/>
      <c r="L64" s="45">
        <f t="shared" si="7"/>
        <v>3500</v>
      </c>
      <c r="M64" s="45"/>
      <c r="N64" s="1"/>
      <c r="O64" s="1"/>
      <c r="P64" s="1"/>
      <c r="Q64" s="1"/>
      <c r="R64" s="1"/>
      <c r="S64" s="1"/>
      <c r="T64" s="1"/>
    </row>
    <row r="65" spans="1:27" ht="32.4" customHeight="1">
      <c r="A65" s="28">
        <v>25</v>
      </c>
      <c r="B65" s="14" t="s">
        <v>753</v>
      </c>
      <c r="C65" s="14" t="s">
        <v>752</v>
      </c>
      <c r="D65" s="28" t="s">
        <v>756</v>
      </c>
      <c r="E65" s="13"/>
      <c r="F65" s="176">
        <v>900</v>
      </c>
      <c r="G65" s="40"/>
      <c r="H65" s="176">
        <f t="shared" si="5"/>
        <v>1800</v>
      </c>
      <c r="I65" s="28">
        <v>1800</v>
      </c>
      <c r="J65" s="134">
        <f t="shared" si="6"/>
        <v>0</v>
      </c>
      <c r="K65" s="32"/>
      <c r="L65" s="45">
        <f t="shared" si="7"/>
        <v>1800</v>
      </c>
      <c r="M65" s="45"/>
      <c r="N65" s="1"/>
      <c r="O65" s="1"/>
      <c r="P65" s="1"/>
      <c r="Q65" s="1"/>
      <c r="R65" s="1"/>
      <c r="S65" s="1"/>
      <c r="T65" s="1"/>
    </row>
    <row r="66" spans="1:27" ht="34.200000000000003" customHeight="1">
      <c r="A66" s="28">
        <v>26</v>
      </c>
      <c r="B66" s="14" t="s">
        <v>754</v>
      </c>
      <c r="C66" s="14" t="s">
        <v>532</v>
      </c>
      <c r="D66" s="28"/>
      <c r="E66" s="13"/>
      <c r="F66" s="176">
        <v>900</v>
      </c>
      <c r="G66" s="40"/>
      <c r="H66" s="176">
        <f t="shared" si="5"/>
        <v>1800</v>
      </c>
      <c r="I66" s="28">
        <v>1800</v>
      </c>
      <c r="J66" s="134">
        <f t="shared" si="6"/>
        <v>0</v>
      </c>
      <c r="K66" s="32"/>
      <c r="L66" s="45">
        <f t="shared" si="7"/>
        <v>1800</v>
      </c>
      <c r="M66" s="1"/>
      <c r="N66" s="1"/>
      <c r="O66" s="1"/>
      <c r="P66" s="1"/>
      <c r="Q66" s="1"/>
      <c r="R66" s="1"/>
      <c r="S66" s="1"/>
      <c r="T66" s="1"/>
    </row>
    <row r="67" spans="1:27" ht="22.2" customHeight="1">
      <c r="A67" s="28">
        <v>27</v>
      </c>
      <c r="B67" s="14" t="s">
        <v>793</v>
      </c>
      <c r="C67" s="14" t="s">
        <v>755</v>
      </c>
      <c r="D67" s="28" t="s">
        <v>761</v>
      </c>
      <c r="E67" s="13"/>
      <c r="F67" s="176">
        <v>1750</v>
      </c>
      <c r="G67" s="40"/>
      <c r="H67" s="176">
        <f t="shared" si="5"/>
        <v>3500</v>
      </c>
      <c r="I67" s="28">
        <v>3500</v>
      </c>
      <c r="J67" s="134">
        <f t="shared" si="6"/>
        <v>0</v>
      </c>
      <c r="K67" s="32"/>
      <c r="L67" s="45">
        <f t="shared" si="7"/>
        <v>3500</v>
      </c>
      <c r="M67" s="1"/>
      <c r="N67" s="1"/>
      <c r="O67" s="1"/>
      <c r="P67" s="1"/>
      <c r="Q67" s="1"/>
      <c r="R67" s="1"/>
      <c r="S67" s="1"/>
      <c r="T67" s="1"/>
    </row>
    <row r="68" spans="1:27" ht="22.2" customHeight="1">
      <c r="A68" s="28">
        <v>28</v>
      </c>
      <c r="B68" s="14" t="s">
        <v>931</v>
      </c>
      <c r="C68" s="14" t="s">
        <v>794</v>
      </c>
      <c r="D68" s="28" t="s">
        <v>795</v>
      </c>
      <c r="E68" s="28" t="s">
        <v>796</v>
      </c>
      <c r="F68" s="176">
        <v>1750</v>
      </c>
      <c r="G68" s="40"/>
      <c r="H68" s="176">
        <f t="shared" si="5"/>
        <v>3500</v>
      </c>
      <c r="I68" s="28">
        <v>3500</v>
      </c>
      <c r="J68" s="134">
        <f t="shared" si="6"/>
        <v>0</v>
      </c>
      <c r="K68" s="32"/>
      <c r="L68" s="45">
        <f t="shared" si="7"/>
        <v>3500</v>
      </c>
      <c r="M68" s="1"/>
      <c r="N68" s="1"/>
      <c r="O68" s="1"/>
      <c r="P68" s="1"/>
      <c r="Q68" s="1"/>
      <c r="R68" s="1"/>
      <c r="S68" s="1"/>
      <c r="T68" s="1"/>
    </row>
    <row r="69" spans="1:27" ht="21" customHeight="1">
      <c r="A69" s="75"/>
      <c r="B69" s="170"/>
      <c r="C69" s="170"/>
      <c r="D69" s="171"/>
      <c r="E69" s="172"/>
      <c r="F69" s="123"/>
      <c r="G69" s="40"/>
      <c r="H69" s="123"/>
      <c r="I69" s="203"/>
      <c r="J69" s="134"/>
      <c r="K69" s="32"/>
      <c r="L69" s="41"/>
      <c r="M69" s="1"/>
      <c r="N69" s="1"/>
      <c r="O69" s="1"/>
      <c r="P69" s="1"/>
      <c r="Q69" s="1"/>
      <c r="R69" s="1"/>
      <c r="S69" s="1"/>
      <c r="T69" s="1"/>
    </row>
    <row r="70" spans="1:27" ht="25.95" customHeight="1">
      <c r="A70" s="480" t="s">
        <v>3</v>
      </c>
      <c r="B70" s="481"/>
      <c r="C70" s="481"/>
      <c r="D70" s="481"/>
      <c r="E70" s="482"/>
      <c r="F70" s="57">
        <f>SUM(F41:F69)</f>
        <v>38000</v>
      </c>
      <c r="G70" s="20"/>
      <c r="H70" s="57">
        <f>SUM(H41:H69)</f>
        <v>76000</v>
      </c>
      <c r="I70" s="202">
        <f>SUM(I41:I69)</f>
        <v>70700</v>
      </c>
      <c r="J70" s="57">
        <f>SUM(J41:J69)</f>
        <v>5300</v>
      </c>
      <c r="K70" s="32"/>
      <c r="L70" s="41"/>
      <c r="M70" s="1"/>
      <c r="N70" s="1"/>
      <c r="O70" s="1"/>
      <c r="P70" s="1"/>
      <c r="Q70" s="1"/>
      <c r="R70" s="1"/>
      <c r="S70" s="1"/>
      <c r="T70" s="1"/>
    </row>
    <row r="71" spans="1:27" ht="33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1"/>
      <c r="T71" s="1"/>
    </row>
    <row r="72" spans="1:27" ht="21" customHeight="1">
      <c r="A72" s="477" t="s">
        <v>152</v>
      </c>
      <c r="B72" s="478"/>
      <c r="C72" s="478"/>
      <c r="D72" s="478"/>
      <c r="E72" s="478"/>
      <c r="F72" s="478"/>
      <c r="G72" s="478"/>
      <c r="H72" s="478"/>
      <c r="I72" s="478"/>
      <c r="J72" s="478"/>
      <c r="K72" s="479"/>
      <c r="L72" s="41"/>
      <c r="T72" s="1"/>
    </row>
    <row r="73" spans="1:27" ht="24" customHeight="1">
      <c r="A73" s="106" t="s">
        <v>4</v>
      </c>
      <c r="B73" s="9" t="s">
        <v>6</v>
      </c>
      <c r="C73" s="106" t="s">
        <v>7</v>
      </c>
      <c r="D73" s="106" t="s">
        <v>0</v>
      </c>
      <c r="E73" s="96" t="s">
        <v>478</v>
      </c>
      <c r="F73" s="96" t="s">
        <v>5</v>
      </c>
      <c r="G73" s="74">
        <v>1500</v>
      </c>
      <c r="H73" s="115" t="s">
        <v>190</v>
      </c>
      <c r="I73" s="115" t="s">
        <v>820</v>
      </c>
      <c r="J73" s="115" t="s">
        <v>58</v>
      </c>
      <c r="K73" s="112" t="s">
        <v>145</v>
      </c>
      <c r="L73" s="41"/>
      <c r="T73" s="1"/>
    </row>
    <row r="74" spans="1:27" ht="32.4" customHeight="1">
      <c r="A74" s="33">
        <v>1</v>
      </c>
      <c r="B74" s="5" t="s">
        <v>471</v>
      </c>
      <c r="C74" s="5" t="s">
        <v>472</v>
      </c>
      <c r="D74" s="111" t="s">
        <v>473</v>
      </c>
      <c r="E74" s="33" t="str">
        <f>+D74</f>
        <v>03319880992</v>
      </c>
      <c r="F74" s="178">
        <v>1750</v>
      </c>
      <c r="G74" s="84"/>
      <c r="H74" s="33">
        <f>+F74*2</f>
        <v>3500</v>
      </c>
      <c r="I74" s="33">
        <v>3500</v>
      </c>
      <c r="J74" s="33">
        <f t="shared" ref="J74:J94" si="8">+H74-I74</f>
        <v>0</v>
      </c>
      <c r="K74" s="5"/>
      <c r="L74" s="41"/>
      <c r="T74" s="1"/>
    </row>
    <row r="75" spans="1:27" ht="31.95" customHeight="1">
      <c r="A75" s="33">
        <v>2</v>
      </c>
      <c r="B75" s="34" t="s">
        <v>492</v>
      </c>
      <c r="C75" s="34" t="s">
        <v>493</v>
      </c>
      <c r="D75" s="35" t="s">
        <v>494</v>
      </c>
      <c r="E75" s="35" t="s">
        <v>495</v>
      </c>
      <c r="F75" s="178">
        <v>1750</v>
      </c>
      <c r="H75" s="33">
        <f t="shared" ref="H75:H94" si="9">+F75*2</f>
        <v>3500</v>
      </c>
      <c r="I75" s="33">
        <v>3500</v>
      </c>
      <c r="J75" s="33">
        <f t="shared" si="8"/>
        <v>0</v>
      </c>
      <c r="K75" s="34"/>
      <c r="L75" s="41"/>
      <c r="T75" s="1"/>
      <c r="AA75" s="1"/>
    </row>
    <row r="76" spans="1:27" ht="33.6" customHeight="1">
      <c r="A76" s="33">
        <v>3</v>
      </c>
      <c r="B76" s="34" t="s">
        <v>600</v>
      </c>
      <c r="C76" s="34" t="s">
        <v>601</v>
      </c>
      <c r="D76" s="35" t="s">
        <v>602</v>
      </c>
      <c r="E76" s="35"/>
      <c r="F76" s="178">
        <v>1750</v>
      </c>
      <c r="G76" s="80"/>
      <c r="H76" s="33">
        <f t="shared" si="9"/>
        <v>3500</v>
      </c>
      <c r="I76" s="33">
        <v>3500</v>
      </c>
      <c r="J76" s="33">
        <f t="shared" si="8"/>
        <v>0</v>
      </c>
      <c r="K76" s="34"/>
      <c r="L76" s="41"/>
      <c r="T76" s="1"/>
      <c r="AA76" s="1"/>
    </row>
    <row r="77" spans="1:27" ht="33.6" customHeight="1">
      <c r="A77" s="33">
        <v>4</v>
      </c>
      <c r="B77" s="15" t="s">
        <v>501</v>
      </c>
      <c r="C77" s="15" t="s">
        <v>502</v>
      </c>
      <c r="D77" s="81" t="s">
        <v>503</v>
      </c>
      <c r="E77" s="33" t="str">
        <f>+D77</f>
        <v>03139815089</v>
      </c>
      <c r="F77" s="178">
        <v>1750</v>
      </c>
      <c r="G77" s="40"/>
      <c r="H77" s="33">
        <f t="shared" si="9"/>
        <v>3500</v>
      </c>
      <c r="I77" s="33">
        <v>3500</v>
      </c>
      <c r="J77" s="33">
        <f t="shared" si="8"/>
        <v>0</v>
      </c>
      <c r="K77" s="15"/>
      <c r="L77" s="41"/>
      <c r="T77" s="1"/>
      <c r="AA77" s="1"/>
    </row>
    <row r="78" spans="1:27" ht="36.6" customHeight="1">
      <c r="A78" s="33">
        <v>5</v>
      </c>
      <c r="B78" s="34" t="s">
        <v>75</v>
      </c>
      <c r="C78" s="34" t="s">
        <v>591</v>
      </c>
      <c r="D78" s="35" t="s">
        <v>592</v>
      </c>
      <c r="E78" s="35"/>
      <c r="F78" s="178">
        <v>900</v>
      </c>
      <c r="G78" s="40"/>
      <c r="H78" s="33">
        <f t="shared" si="9"/>
        <v>1800</v>
      </c>
      <c r="I78" s="33">
        <v>1800</v>
      </c>
      <c r="J78" s="33">
        <f t="shared" si="8"/>
        <v>0</v>
      </c>
      <c r="K78" s="34"/>
      <c r="L78" s="41"/>
      <c r="T78" s="1"/>
      <c r="AA78" s="1"/>
    </row>
    <row r="79" spans="1:27" ht="36.6" customHeight="1">
      <c r="A79" s="33">
        <v>6</v>
      </c>
      <c r="B79" s="34" t="s">
        <v>614</v>
      </c>
      <c r="C79" s="34" t="s">
        <v>616</v>
      </c>
      <c r="D79" s="35" t="s">
        <v>615</v>
      </c>
      <c r="E79" s="78"/>
      <c r="F79" s="178">
        <v>1750</v>
      </c>
      <c r="G79" s="40"/>
      <c r="H79" s="33">
        <f t="shared" si="9"/>
        <v>3500</v>
      </c>
      <c r="I79" s="33">
        <v>3500</v>
      </c>
      <c r="J79" s="33">
        <f t="shared" si="8"/>
        <v>0</v>
      </c>
      <c r="K79" s="34"/>
      <c r="L79" s="41"/>
      <c r="T79" s="1"/>
      <c r="AA79" s="1"/>
    </row>
    <row r="80" spans="1:27" ht="36.6" customHeight="1">
      <c r="A80" s="33">
        <v>7</v>
      </c>
      <c r="B80" s="34" t="s">
        <v>686</v>
      </c>
      <c r="C80" s="34" t="s">
        <v>687</v>
      </c>
      <c r="D80" s="35" t="s">
        <v>710</v>
      </c>
      <c r="E80" s="35" t="s">
        <v>711</v>
      </c>
      <c r="F80" s="178">
        <v>1750</v>
      </c>
      <c r="G80" s="40"/>
      <c r="H80" s="33">
        <f t="shared" si="9"/>
        <v>3500</v>
      </c>
      <c r="I80" s="33">
        <v>3500</v>
      </c>
      <c r="J80" s="33">
        <f t="shared" si="8"/>
        <v>0</v>
      </c>
      <c r="K80" s="34"/>
      <c r="L80" s="41"/>
      <c r="T80" s="1"/>
      <c r="Z80" s="1"/>
      <c r="AA80" s="1"/>
    </row>
    <row r="81" spans="1:27" ht="20.399999999999999" customHeight="1">
      <c r="A81" s="33">
        <v>8</v>
      </c>
      <c r="B81" s="34" t="s">
        <v>528</v>
      </c>
      <c r="C81" s="34" t="s">
        <v>529</v>
      </c>
      <c r="D81" s="35" t="s">
        <v>530</v>
      </c>
      <c r="E81" s="35" t="str">
        <f>+D81</f>
        <v>03369658103</v>
      </c>
      <c r="F81" s="178">
        <v>1750</v>
      </c>
      <c r="G81" s="40"/>
      <c r="H81" s="33">
        <f t="shared" si="9"/>
        <v>3500</v>
      </c>
      <c r="I81" s="33">
        <v>3500</v>
      </c>
      <c r="J81" s="33">
        <f t="shared" si="8"/>
        <v>0</v>
      </c>
      <c r="K81" s="34"/>
      <c r="L81" s="41"/>
      <c r="T81" s="1"/>
      <c r="AA81" s="1"/>
    </row>
    <row r="82" spans="1:27" ht="20.399999999999999" customHeight="1">
      <c r="A82" s="33">
        <v>9</v>
      </c>
      <c r="B82" s="34" t="s">
        <v>580</v>
      </c>
      <c r="C82" s="34" t="s">
        <v>581</v>
      </c>
      <c r="D82" s="35" t="s">
        <v>582</v>
      </c>
      <c r="E82" s="35"/>
      <c r="F82" s="178">
        <v>1750</v>
      </c>
      <c r="G82" s="40"/>
      <c r="H82" s="33">
        <f t="shared" si="9"/>
        <v>3500</v>
      </c>
      <c r="I82" s="33">
        <v>3500</v>
      </c>
      <c r="J82" s="33">
        <f t="shared" si="8"/>
        <v>0</v>
      </c>
      <c r="K82" s="34"/>
      <c r="L82" s="41"/>
      <c r="T82" s="1"/>
      <c r="Z82" s="1"/>
      <c r="AA82" s="1"/>
    </row>
    <row r="83" spans="1:27" ht="20.399999999999999" customHeight="1">
      <c r="A83" s="33">
        <v>10</v>
      </c>
      <c r="B83" s="34" t="s">
        <v>496</v>
      </c>
      <c r="C83" s="34" t="s">
        <v>174</v>
      </c>
      <c r="D83" s="35" t="s">
        <v>497</v>
      </c>
      <c r="E83" s="35" t="str">
        <f>+D83</f>
        <v>03300238774</v>
      </c>
      <c r="F83" s="178">
        <v>0</v>
      </c>
      <c r="G83" s="40"/>
      <c r="H83" s="33">
        <f t="shared" si="9"/>
        <v>0</v>
      </c>
      <c r="I83" s="349">
        <v>0</v>
      </c>
      <c r="J83" s="33">
        <f t="shared" si="8"/>
        <v>0</v>
      </c>
      <c r="K83" s="5"/>
      <c r="L83" s="41"/>
      <c r="T83" s="1"/>
      <c r="Z83" s="1"/>
      <c r="AA83" s="1"/>
    </row>
    <row r="84" spans="1:27" ht="20.399999999999999" customHeight="1">
      <c r="A84" s="33">
        <v>11</v>
      </c>
      <c r="B84" s="5" t="s">
        <v>463</v>
      </c>
      <c r="C84" s="5"/>
      <c r="D84" s="5"/>
      <c r="E84" s="33"/>
      <c r="F84" s="178">
        <v>1750</v>
      </c>
      <c r="G84" s="84"/>
      <c r="H84" s="33">
        <f t="shared" si="9"/>
        <v>3500</v>
      </c>
      <c r="I84" s="33">
        <v>3500</v>
      </c>
      <c r="J84" s="33">
        <f t="shared" si="8"/>
        <v>0</v>
      </c>
      <c r="K84" s="34"/>
      <c r="L84" s="41"/>
      <c r="T84" s="1"/>
      <c r="Z84" s="1"/>
      <c r="AA84" s="1"/>
    </row>
    <row r="85" spans="1:27" ht="20.399999999999999" customHeight="1">
      <c r="A85" s="33">
        <v>12</v>
      </c>
      <c r="B85" s="34" t="s">
        <v>603</v>
      </c>
      <c r="C85" s="34" t="s">
        <v>604</v>
      </c>
      <c r="D85" s="35" t="s">
        <v>605</v>
      </c>
      <c r="E85" s="28" t="str">
        <f>+D85</f>
        <v>03364546562</v>
      </c>
      <c r="F85" s="178">
        <v>1750</v>
      </c>
      <c r="H85" s="33">
        <f t="shared" si="9"/>
        <v>3500</v>
      </c>
      <c r="I85" s="33">
        <v>3500</v>
      </c>
      <c r="J85" s="33">
        <f t="shared" si="8"/>
        <v>0</v>
      </c>
      <c r="K85" s="34"/>
      <c r="L85" s="41"/>
      <c r="T85" s="1"/>
      <c r="U85" s="1"/>
      <c r="V85" s="1"/>
      <c r="W85" s="1"/>
      <c r="X85" s="1"/>
      <c r="Y85" s="1"/>
      <c r="Z85" s="1"/>
      <c r="AA85" s="1"/>
    </row>
    <row r="86" spans="1:27" ht="20.399999999999999" customHeight="1">
      <c r="A86" s="33">
        <v>13</v>
      </c>
      <c r="B86" s="34" t="s">
        <v>575</v>
      </c>
      <c r="C86" s="34" t="s">
        <v>576</v>
      </c>
      <c r="D86" s="35" t="s">
        <v>577</v>
      </c>
      <c r="E86" s="28" t="str">
        <f>+D86</f>
        <v>03338315439</v>
      </c>
      <c r="F86" s="178">
        <v>1750</v>
      </c>
      <c r="H86" s="33">
        <f t="shared" si="9"/>
        <v>3500</v>
      </c>
      <c r="I86" s="33">
        <v>3500</v>
      </c>
      <c r="J86" s="33">
        <f t="shared" si="8"/>
        <v>0</v>
      </c>
      <c r="K86" s="5"/>
      <c r="L86" s="41"/>
      <c r="T86" s="1"/>
      <c r="Z86" s="1"/>
      <c r="AA86" s="1"/>
    </row>
    <row r="87" spans="1:27" ht="20.399999999999999" customHeight="1">
      <c r="A87" s="33">
        <v>14</v>
      </c>
      <c r="B87" s="5" t="s">
        <v>459</v>
      </c>
      <c r="C87" s="5" t="s">
        <v>460</v>
      </c>
      <c r="D87" s="111" t="s">
        <v>461</v>
      </c>
      <c r="E87" s="33" t="str">
        <f>+D87</f>
        <v>03365485883</v>
      </c>
      <c r="F87" s="178">
        <v>1750</v>
      </c>
      <c r="G87" s="84"/>
      <c r="H87" s="33">
        <f t="shared" si="9"/>
        <v>3500</v>
      </c>
      <c r="I87" s="33">
        <v>3500</v>
      </c>
      <c r="J87" s="33">
        <f t="shared" si="8"/>
        <v>0</v>
      </c>
      <c r="K87" s="140"/>
      <c r="L87" s="41"/>
      <c r="T87" s="1"/>
      <c r="U87" s="1"/>
      <c r="V87" s="1"/>
      <c r="W87" s="1"/>
      <c r="X87" s="1"/>
      <c r="Y87" s="1"/>
      <c r="Z87" s="1"/>
      <c r="AA87" s="1"/>
    </row>
    <row r="88" spans="1:27" ht="20.399999999999999" customHeight="1">
      <c r="A88" s="33">
        <v>15</v>
      </c>
      <c r="B88" s="116" t="s">
        <v>608</v>
      </c>
      <c r="C88" s="116" t="s">
        <v>609</v>
      </c>
      <c r="D88" s="130" t="s">
        <v>610</v>
      </c>
      <c r="E88" s="131"/>
      <c r="F88" s="178">
        <v>900</v>
      </c>
      <c r="G88" s="84"/>
      <c r="H88" s="33">
        <f t="shared" si="9"/>
        <v>1800</v>
      </c>
      <c r="I88" s="33">
        <v>1800</v>
      </c>
      <c r="J88" s="33">
        <f t="shared" si="8"/>
        <v>0</v>
      </c>
      <c r="K88" s="34"/>
      <c r="L88" s="41"/>
      <c r="U88" s="1"/>
      <c r="V88" s="1"/>
      <c r="W88" s="1"/>
      <c r="X88" s="1"/>
      <c r="Y88" s="1"/>
      <c r="Z88" s="1"/>
      <c r="AA88" s="1"/>
    </row>
    <row r="89" spans="1:27" ht="20.399999999999999" customHeight="1">
      <c r="A89" s="33">
        <v>16</v>
      </c>
      <c r="B89" s="34" t="s">
        <v>684</v>
      </c>
      <c r="C89" s="34" t="s">
        <v>685</v>
      </c>
      <c r="D89" s="35" t="s">
        <v>712</v>
      </c>
      <c r="E89" s="35" t="s">
        <v>557</v>
      </c>
      <c r="F89" s="178">
        <v>1750</v>
      </c>
      <c r="G89" s="40"/>
      <c r="H89" s="33">
        <f t="shared" si="9"/>
        <v>3500</v>
      </c>
      <c r="I89" s="33">
        <v>3500</v>
      </c>
      <c r="J89" s="33">
        <f t="shared" si="8"/>
        <v>0</v>
      </c>
      <c r="K89" s="5"/>
      <c r="L89" s="41"/>
      <c r="U89" s="1"/>
      <c r="V89" s="1"/>
      <c r="W89" s="1"/>
      <c r="X89" s="1"/>
      <c r="Y89" s="1"/>
      <c r="Z89" s="1"/>
      <c r="AA89" s="1"/>
    </row>
    <row r="90" spans="1:27" ht="20.399999999999999" customHeight="1">
      <c r="A90" s="33">
        <v>17</v>
      </c>
      <c r="B90" s="5" t="s">
        <v>468</v>
      </c>
      <c r="C90" s="5" t="s">
        <v>469</v>
      </c>
      <c r="D90" s="111" t="s">
        <v>470</v>
      </c>
      <c r="E90" s="33" t="str">
        <f>+D90</f>
        <v>03369157337</v>
      </c>
      <c r="F90" s="178">
        <v>1750</v>
      </c>
      <c r="G90" s="84"/>
      <c r="H90" s="33">
        <f t="shared" si="9"/>
        <v>3500</v>
      </c>
      <c r="I90" s="33">
        <v>3500</v>
      </c>
      <c r="J90" s="33">
        <f t="shared" si="8"/>
        <v>0</v>
      </c>
      <c r="K90" s="34"/>
      <c r="L90" s="41"/>
      <c r="U90" s="1"/>
      <c r="V90" s="1"/>
      <c r="W90" s="1"/>
      <c r="X90" s="1"/>
      <c r="Y90" s="1"/>
      <c r="Z90" s="1"/>
      <c r="AA90" s="1"/>
    </row>
    <row r="91" spans="1:27" ht="20.399999999999999" customHeight="1">
      <c r="A91" s="33">
        <v>18</v>
      </c>
      <c r="B91" s="34" t="s">
        <v>688</v>
      </c>
      <c r="C91" s="34"/>
      <c r="D91" s="35"/>
      <c r="E91" s="35"/>
      <c r="F91" s="178">
        <v>1750</v>
      </c>
      <c r="G91" s="40"/>
      <c r="H91" s="33">
        <f t="shared" si="9"/>
        <v>3500</v>
      </c>
      <c r="I91" s="33">
        <v>3500</v>
      </c>
      <c r="J91" s="33">
        <f t="shared" si="8"/>
        <v>0</v>
      </c>
      <c r="K91" s="34"/>
      <c r="L91" s="41"/>
      <c r="U91" s="1"/>
      <c r="V91" s="1"/>
      <c r="W91" s="1"/>
      <c r="X91" s="1"/>
      <c r="Y91" s="1"/>
      <c r="Z91" s="1"/>
      <c r="AA91" s="1"/>
    </row>
    <row r="92" spans="1:27" ht="20.399999999999999" customHeight="1">
      <c r="A92" s="33">
        <v>19</v>
      </c>
      <c r="B92" s="34" t="s">
        <v>578</v>
      </c>
      <c r="C92" s="34" t="s">
        <v>277</v>
      </c>
      <c r="D92" s="35" t="s">
        <v>579</v>
      </c>
      <c r="E92" s="35"/>
      <c r="F92" s="178">
        <v>1750</v>
      </c>
      <c r="G92" s="40"/>
      <c r="H92" s="33">
        <f t="shared" si="9"/>
        <v>3500</v>
      </c>
      <c r="I92" s="33">
        <v>3500</v>
      </c>
      <c r="J92" s="33">
        <f t="shared" si="8"/>
        <v>0</v>
      </c>
      <c r="K92" s="34"/>
      <c r="L92" s="41"/>
      <c r="U92" s="1"/>
      <c r="V92" s="1"/>
      <c r="W92" s="1"/>
      <c r="X92" s="1"/>
      <c r="Y92" s="1"/>
      <c r="Z92" s="1"/>
      <c r="AA92" s="1"/>
    </row>
    <row r="93" spans="1:27" ht="20.399999999999999" customHeight="1">
      <c r="A93" s="33">
        <v>20</v>
      </c>
      <c r="B93" s="34" t="s">
        <v>596</v>
      </c>
      <c r="C93" s="34" t="s">
        <v>597</v>
      </c>
      <c r="D93" s="35" t="s">
        <v>598</v>
      </c>
      <c r="E93" s="35"/>
      <c r="F93" s="178">
        <v>1750</v>
      </c>
      <c r="G93" s="40"/>
      <c r="H93" s="33">
        <f t="shared" si="9"/>
        <v>3500</v>
      </c>
      <c r="I93" s="33">
        <v>3500</v>
      </c>
      <c r="J93" s="33">
        <f t="shared" si="8"/>
        <v>0</v>
      </c>
      <c r="K93" s="34"/>
      <c r="L93" s="42"/>
      <c r="U93" s="1"/>
      <c r="V93" s="1"/>
      <c r="W93" s="1"/>
      <c r="X93" s="1"/>
      <c r="Y93" s="1"/>
      <c r="Z93" s="1"/>
      <c r="AA93" s="1"/>
    </row>
    <row r="94" spans="1:27" ht="17.399999999999999" customHeight="1">
      <c r="A94" s="33">
        <v>21</v>
      </c>
      <c r="B94" s="34" t="s">
        <v>932</v>
      </c>
      <c r="C94" s="64"/>
      <c r="D94" s="204"/>
      <c r="E94" s="78"/>
      <c r="F94" s="178">
        <v>1750</v>
      </c>
      <c r="G94" s="40"/>
      <c r="H94" s="33">
        <f t="shared" si="9"/>
        <v>3500</v>
      </c>
      <c r="I94" s="33">
        <v>3500</v>
      </c>
      <c r="J94" s="33">
        <f t="shared" si="8"/>
        <v>0</v>
      </c>
      <c r="K94" s="34"/>
      <c r="L94" s="8"/>
      <c r="U94" s="1"/>
      <c r="V94" s="1"/>
      <c r="W94" s="1"/>
      <c r="X94" s="1"/>
      <c r="Y94" s="1"/>
      <c r="Z94" s="1"/>
      <c r="AA94" s="1"/>
    </row>
    <row r="95" spans="1:27" ht="17.399999999999999" customHeight="1">
      <c r="A95" s="480" t="s">
        <v>3</v>
      </c>
      <c r="B95" s="481"/>
      <c r="C95" s="481"/>
      <c r="D95" s="481"/>
      <c r="E95" s="482"/>
      <c r="F95" s="57">
        <f>SUM(F74:F94)</f>
        <v>33300</v>
      </c>
      <c r="G95" s="20"/>
      <c r="H95" s="57">
        <f t="shared" ref="H95:J95" si="10">SUM(H74:H94)</f>
        <v>66600</v>
      </c>
      <c r="I95" s="57">
        <f t="shared" si="10"/>
        <v>66600</v>
      </c>
      <c r="J95" s="57">
        <f t="shared" si="10"/>
        <v>0</v>
      </c>
      <c r="K95" s="32"/>
      <c r="L95" s="43"/>
      <c r="U95" s="1"/>
      <c r="V95" s="1"/>
      <c r="W95" s="1"/>
      <c r="X95" s="1"/>
      <c r="Y95" s="1"/>
      <c r="Z95" s="1"/>
      <c r="AA95" s="1"/>
    </row>
    <row r="96" spans="1:27" ht="17.399999999999999" customHeight="1">
      <c r="A96" s="477" t="s">
        <v>26</v>
      </c>
      <c r="B96" s="478"/>
      <c r="C96" s="478"/>
      <c r="D96" s="478"/>
      <c r="E96" s="478"/>
      <c r="F96" s="478"/>
      <c r="G96" s="478"/>
      <c r="H96" s="478"/>
      <c r="I96" s="478"/>
      <c r="J96" s="478"/>
      <c r="K96" s="479"/>
      <c r="L96" s="1"/>
      <c r="U96" s="1"/>
      <c r="V96" s="1"/>
      <c r="W96" s="1"/>
      <c r="X96" s="1"/>
      <c r="Y96" s="1"/>
      <c r="Z96" s="1"/>
      <c r="AA96" s="1"/>
    </row>
    <row r="97" spans="1:27" ht="17.399999999999999" customHeight="1">
      <c r="A97" s="106" t="s">
        <v>4</v>
      </c>
      <c r="B97" s="9" t="s">
        <v>6</v>
      </c>
      <c r="C97" s="106" t="s">
        <v>7</v>
      </c>
      <c r="D97" s="106" t="s">
        <v>0</v>
      </c>
      <c r="E97" s="96" t="s">
        <v>478</v>
      </c>
      <c r="F97" s="96" t="s">
        <v>5</v>
      </c>
      <c r="G97" s="98"/>
      <c r="H97" s="115" t="s">
        <v>190</v>
      </c>
      <c r="I97" s="115" t="s">
        <v>820</v>
      </c>
      <c r="J97" s="115" t="s">
        <v>58</v>
      </c>
      <c r="K97" s="97" t="s">
        <v>145</v>
      </c>
      <c r="L97" s="1"/>
      <c r="U97" s="1"/>
      <c r="V97" s="1"/>
      <c r="W97" s="1"/>
      <c r="X97" s="1"/>
      <c r="Y97" s="1"/>
      <c r="Z97" s="1"/>
      <c r="AA97" s="1"/>
    </row>
    <row r="98" spans="1:27" ht="17.399999999999999" customHeight="1">
      <c r="A98" s="28">
        <v>1</v>
      </c>
      <c r="B98" s="136" t="s">
        <v>628</v>
      </c>
      <c r="C98" s="14" t="s">
        <v>629</v>
      </c>
      <c r="D98" s="73" t="s">
        <v>630</v>
      </c>
      <c r="E98" s="73" t="s">
        <v>630</v>
      </c>
      <c r="F98" s="176">
        <v>1950</v>
      </c>
      <c r="G98" s="147"/>
      <c r="H98" s="176">
        <f>+F98*2</f>
        <v>3900</v>
      </c>
      <c r="I98" s="28">
        <v>3900</v>
      </c>
      <c r="J98" s="212">
        <f>+H98-I98</f>
        <v>0</v>
      </c>
      <c r="K98" s="136"/>
      <c r="L98" s="1">
        <f>+J98+F98*2</f>
        <v>3900</v>
      </c>
      <c r="U98" s="1"/>
      <c r="V98" s="1"/>
      <c r="W98" s="1"/>
      <c r="X98" s="1"/>
      <c r="Y98" s="1"/>
      <c r="Z98" s="1"/>
      <c r="AA98" s="1"/>
    </row>
    <row r="99" spans="1:27" ht="17.399999999999999" customHeight="1">
      <c r="A99" s="28">
        <v>2</v>
      </c>
      <c r="B99" s="140" t="s">
        <v>769</v>
      </c>
      <c r="C99" s="14" t="s">
        <v>770</v>
      </c>
      <c r="D99" s="143" t="s">
        <v>774</v>
      </c>
      <c r="E99" s="144"/>
      <c r="F99" s="176">
        <v>1950</v>
      </c>
      <c r="H99" s="176">
        <f t="shared" ref="H99:H112" si="11">+F99*2</f>
        <v>3900</v>
      </c>
      <c r="I99" s="28">
        <v>3900</v>
      </c>
      <c r="J99" s="123">
        <f>+H99-I99</f>
        <v>0</v>
      </c>
      <c r="K99" s="140"/>
      <c r="L99" s="1">
        <f t="shared" ref="L99:L112" si="12">+J99+F99*2</f>
        <v>3900</v>
      </c>
      <c r="U99" s="1"/>
      <c r="V99" s="1"/>
      <c r="W99" s="1"/>
      <c r="X99" s="1"/>
      <c r="Y99" s="1"/>
      <c r="Z99" s="1"/>
      <c r="AA99" s="1"/>
    </row>
    <row r="100" spans="1:27" ht="17.399999999999999" customHeight="1">
      <c r="A100" s="28">
        <v>3</v>
      </c>
      <c r="B100" s="140" t="s">
        <v>767</v>
      </c>
      <c r="C100" s="14" t="s">
        <v>768</v>
      </c>
      <c r="D100" s="143" t="s">
        <v>761</v>
      </c>
      <c r="E100" s="144"/>
      <c r="F100" s="176">
        <v>1950</v>
      </c>
      <c r="H100" s="176">
        <f t="shared" si="11"/>
        <v>3900</v>
      </c>
      <c r="I100" s="28">
        <v>3900</v>
      </c>
      <c r="J100" s="123">
        <f>+H100-I100</f>
        <v>0</v>
      </c>
      <c r="K100" s="140"/>
      <c r="L100" s="1">
        <f t="shared" si="12"/>
        <v>3900</v>
      </c>
      <c r="U100" s="1"/>
      <c r="V100" s="1"/>
      <c r="W100" s="1"/>
      <c r="X100" s="1"/>
      <c r="Y100" s="1"/>
      <c r="Z100" s="1"/>
      <c r="AA100" s="1"/>
    </row>
    <row r="101" spans="1:27" ht="17.399999999999999" customHeight="1">
      <c r="A101" s="28">
        <v>4</v>
      </c>
      <c r="B101" s="34" t="s">
        <v>480</v>
      </c>
      <c r="C101" s="14" t="s">
        <v>606</v>
      </c>
      <c r="D101" s="35" t="s">
        <v>481</v>
      </c>
      <c r="E101" s="35" t="str">
        <f>+D101</f>
        <v>03139502339</v>
      </c>
      <c r="F101" s="176">
        <v>1950</v>
      </c>
      <c r="G101" s="20"/>
      <c r="H101" s="176">
        <f t="shared" si="11"/>
        <v>3900</v>
      </c>
      <c r="I101" s="28">
        <v>3900</v>
      </c>
      <c r="J101" s="123">
        <f>+H101-I101</f>
        <v>0</v>
      </c>
      <c r="K101" s="34"/>
      <c r="L101" s="1">
        <f t="shared" si="12"/>
        <v>3900</v>
      </c>
      <c r="U101" s="1"/>
      <c r="V101" s="1"/>
      <c r="W101" s="1"/>
      <c r="X101" s="1"/>
      <c r="Y101" s="1"/>
      <c r="Z101" s="1"/>
      <c r="AA101" s="1"/>
    </row>
    <row r="102" spans="1:27" ht="17.399999999999999" customHeight="1">
      <c r="A102" s="28">
        <v>5</v>
      </c>
      <c r="B102" s="34" t="s">
        <v>239</v>
      </c>
      <c r="C102" s="34" t="s">
        <v>594</v>
      </c>
      <c r="D102" s="35" t="s">
        <v>595</v>
      </c>
      <c r="E102" s="35"/>
      <c r="F102" s="176">
        <v>1950</v>
      </c>
      <c r="H102" s="176">
        <f t="shared" si="11"/>
        <v>3900</v>
      </c>
      <c r="I102" s="28">
        <v>3900</v>
      </c>
      <c r="J102" s="123">
        <f>+H102-I102</f>
        <v>0</v>
      </c>
      <c r="K102" s="34"/>
      <c r="L102" s="1">
        <f t="shared" si="12"/>
        <v>3900</v>
      </c>
      <c r="U102" s="1"/>
      <c r="V102" s="1"/>
      <c r="W102" s="1"/>
      <c r="X102" s="1"/>
      <c r="Y102" s="1"/>
      <c r="Z102" s="1"/>
      <c r="AA102" s="1"/>
    </row>
    <row r="103" spans="1:27" ht="17.399999999999999" customHeight="1">
      <c r="A103" s="28">
        <v>6</v>
      </c>
      <c r="B103" s="34" t="s">
        <v>46</v>
      </c>
      <c r="C103" s="14" t="s">
        <v>479</v>
      </c>
      <c r="D103" s="35" t="s">
        <v>482</v>
      </c>
      <c r="E103" s="35" t="str">
        <f>+D103</f>
        <v>03340692019</v>
      </c>
      <c r="F103" s="176">
        <v>1000</v>
      </c>
      <c r="G103" s="20"/>
      <c r="H103" s="176">
        <f t="shared" si="11"/>
        <v>2000</v>
      </c>
      <c r="I103" s="28">
        <v>2000</v>
      </c>
      <c r="J103" s="123">
        <f t="shared" ref="J103:J104" si="13">+H103-I103</f>
        <v>0</v>
      </c>
      <c r="K103" s="34"/>
      <c r="L103" s="1">
        <f t="shared" si="12"/>
        <v>2000</v>
      </c>
      <c r="U103" s="1"/>
      <c r="V103" s="1"/>
      <c r="W103" s="1"/>
      <c r="X103" s="1"/>
      <c r="Y103" s="1"/>
      <c r="Z103" s="1"/>
      <c r="AA103" s="1"/>
    </row>
    <row r="104" spans="1:27" ht="22.2" customHeight="1">
      <c r="A104" s="28">
        <v>7</v>
      </c>
      <c r="B104" s="34" t="s">
        <v>489</v>
      </c>
      <c r="C104" s="34" t="s">
        <v>490</v>
      </c>
      <c r="D104" s="79" t="s">
        <v>491</v>
      </c>
      <c r="E104" s="79" t="str">
        <f>+D104</f>
        <v>03329937208</v>
      </c>
      <c r="F104" s="176">
        <v>1950</v>
      </c>
      <c r="G104" s="20"/>
      <c r="H104" s="176">
        <f t="shared" si="11"/>
        <v>3900</v>
      </c>
      <c r="I104" s="28">
        <v>3900</v>
      </c>
      <c r="J104" s="123">
        <f t="shared" si="13"/>
        <v>0</v>
      </c>
      <c r="K104" s="34"/>
      <c r="L104" s="1">
        <f t="shared" si="12"/>
        <v>3900</v>
      </c>
      <c r="U104" s="1"/>
      <c r="V104" s="1"/>
      <c r="W104" s="1"/>
      <c r="X104" s="1"/>
      <c r="Y104" s="1"/>
      <c r="Z104" s="1"/>
      <c r="AA104" s="1"/>
    </row>
    <row r="105" spans="1:27" ht="22.2" customHeight="1">
      <c r="A105" s="28">
        <v>8</v>
      </c>
      <c r="B105" s="140" t="s">
        <v>762</v>
      </c>
      <c r="C105" s="34" t="s">
        <v>763</v>
      </c>
      <c r="D105" s="35" t="s">
        <v>771</v>
      </c>
      <c r="E105" s="144"/>
      <c r="F105" s="176">
        <v>0</v>
      </c>
      <c r="H105" s="176">
        <f t="shared" si="11"/>
        <v>0</v>
      </c>
      <c r="I105" s="350">
        <v>0</v>
      </c>
      <c r="J105" s="123">
        <f t="shared" ref="J105:J112" si="14">+H105-I105</f>
        <v>0</v>
      </c>
      <c r="K105" s="34"/>
      <c r="L105" s="1">
        <f t="shared" si="12"/>
        <v>0</v>
      </c>
      <c r="M105" s="113"/>
      <c r="N105" s="113"/>
      <c r="O105" s="113"/>
      <c r="P105" s="113"/>
      <c r="Q105" s="113"/>
      <c r="R105" s="113"/>
      <c r="U105" s="1"/>
      <c r="V105" s="1"/>
      <c r="W105" s="1"/>
      <c r="X105" s="1"/>
      <c r="Y105" s="1"/>
      <c r="Z105" s="1"/>
      <c r="AA105" s="1"/>
    </row>
    <row r="106" spans="1:27" ht="33" customHeight="1">
      <c r="A106" s="28">
        <v>9</v>
      </c>
      <c r="B106" s="140" t="s">
        <v>764</v>
      </c>
      <c r="C106" s="34" t="s">
        <v>765</v>
      </c>
      <c r="D106" s="35" t="s">
        <v>772</v>
      </c>
      <c r="E106" s="144"/>
      <c r="F106" s="176">
        <v>1950</v>
      </c>
      <c r="H106" s="176">
        <f t="shared" si="11"/>
        <v>3900</v>
      </c>
      <c r="I106" s="28">
        <v>3900</v>
      </c>
      <c r="J106" s="123">
        <f t="shared" si="14"/>
        <v>0</v>
      </c>
      <c r="K106" s="34"/>
      <c r="L106" s="1">
        <f t="shared" si="12"/>
        <v>3900</v>
      </c>
      <c r="M106" s="113"/>
      <c r="N106" s="113"/>
      <c r="O106" s="113"/>
      <c r="P106" s="113"/>
      <c r="Q106" s="113"/>
      <c r="R106" s="113"/>
      <c r="S106" s="1"/>
      <c r="U106" s="1"/>
      <c r="V106" s="1"/>
      <c r="W106" s="1"/>
      <c r="X106" s="1"/>
      <c r="Y106" s="1"/>
      <c r="Z106" s="1"/>
      <c r="AA106" s="1"/>
    </row>
    <row r="107" spans="1:27" ht="22.2" customHeight="1">
      <c r="A107" s="28">
        <v>10</v>
      </c>
      <c r="B107" s="140" t="s">
        <v>766</v>
      </c>
      <c r="C107" s="34" t="s">
        <v>469</v>
      </c>
      <c r="D107" s="35" t="s">
        <v>773</v>
      </c>
      <c r="E107" s="144"/>
      <c r="F107" s="176">
        <v>1950</v>
      </c>
      <c r="H107" s="176">
        <f t="shared" si="11"/>
        <v>3900</v>
      </c>
      <c r="I107" s="28">
        <v>3900</v>
      </c>
      <c r="J107" s="123">
        <f t="shared" si="14"/>
        <v>0</v>
      </c>
      <c r="K107" s="34"/>
      <c r="L107" s="1">
        <f t="shared" si="12"/>
        <v>3900</v>
      </c>
      <c r="M107" s="113"/>
      <c r="N107" s="113"/>
      <c r="O107" s="113"/>
      <c r="P107" s="113"/>
      <c r="Q107" s="113"/>
      <c r="R107" s="113"/>
      <c r="S107" s="1"/>
      <c r="U107" s="1"/>
      <c r="V107" s="1"/>
      <c r="W107" s="1"/>
      <c r="X107" s="1"/>
      <c r="Y107" s="1"/>
      <c r="Z107" s="1"/>
      <c r="AA107" s="1"/>
    </row>
    <row r="108" spans="1:27" ht="22.2" customHeight="1">
      <c r="A108" s="28">
        <v>11</v>
      </c>
      <c r="B108" s="140" t="s">
        <v>797</v>
      </c>
      <c r="C108" s="34" t="s">
        <v>798</v>
      </c>
      <c r="D108" s="35" t="s">
        <v>799</v>
      </c>
      <c r="E108" s="145"/>
      <c r="F108" s="176">
        <v>1950</v>
      </c>
      <c r="H108" s="176">
        <f t="shared" si="11"/>
        <v>3900</v>
      </c>
      <c r="I108" s="28">
        <v>3900</v>
      </c>
      <c r="J108" s="123">
        <f t="shared" si="14"/>
        <v>0</v>
      </c>
      <c r="K108" s="34"/>
      <c r="L108" s="1">
        <f t="shared" si="12"/>
        <v>3900</v>
      </c>
      <c r="M108" s="113"/>
      <c r="N108" s="113"/>
      <c r="O108" s="113"/>
      <c r="P108" s="113"/>
      <c r="Q108" s="113"/>
      <c r="R108" s="113"/>
      <c r="S108" s="1"/>
      <c r="U108" s="1"/>
      <c r="V108" s="1"/>
      <c r="W108" s="1"/>
      <c r="X108" s="1"/>
      <c r="Y108" s="1"/>
      <c r="Z108" s="1"/>
      <c r="AA108" s="1"/>
    </row>
    <row r="109" spans="1:27" ht="22.2" customHeight="1">
      <c r="A109" s="28">
        <v>12</v>
      </c>
      <c r="B109" s="140" t="s">
        <v>320</v>
      </c>
      <c r="C109" s="34" t="s">
        <v>101</v>
      </c>
      <c r="D109" s="141" t="s">
        <v>205</v>
      </c>
      <c r="E109" s="141"/>
      <c r="F109" s="176">
        <v>1950</v>
      </c>
      <c r="G109" s="173"/>
      <c r="H109" s="176">
        <v>3900</v>
      </c>
      <c r="I109" s="28">
        <v>3900</v>
      </c>
      <c r="J109" s="213">
        <f t="shared" si="14"/>
        <v>0</v>
      </c>
      <c r="K109" s="34"/>
      <c r="L109" s="1">
        <f>+J109+F109*2</f>
        <v>3900</v>
      </c>
      <c r="M109" s="113"/>
      <c r="N109" s="113"/>
      <c r="O109" s="113"/>
      <c r="P109" s="113"/>
      <c r="Q109" s="113"/>
      <c r="R109" s="113"/>
      <c r="S109" s="1"/>
      <c r="U109" s="1"/>
      <c r="V109" s="1"/>
      <c r="W109" s="1"/>
      <c r="X109" s="1"/>
      <c r="Y109" s="1"/>
      <c r="Z109" s="1"/>
    </row>
    <row r="110" spans="1:27" ht="22.8" customHeight="1">
      <c r="A110" s="28">
        <v>13</v>
      </c>
      <c r="B110" s="140" t="s">
        <v>805</v>
      </c>
      <c r="C110" s="34" t="s">
        <v>815</v>
      </c>
      <c r="D110" s="209"/>
      <c r="E110" s="144"/>
      <c r="F110" s="176">
        <v>1950</v>
      </c>
      <c r="G110" s="173"/>
      <c r="H110" s="176">
        <f t="shared" si="11"/>
        <v>3900</v>
      </c>
      <c r="I110" s="28">
        <v>3900</v>
      </c>
      <c r="J110" s="123">
        <f t="shared" si="14"/>
        <v>0</v>
      </c>
      <c r="L110" s="1">
        <f t="shared" si="12"/>
        <v>3900</v>
      </c>
      <c r="M110" s="113"/>
      <c r="N110" s="113"/>
      <c r="O110" s="113"/>
      <c r="P110" s="113"/>
      <c r="Q110" s="113"/>
      <c r="R110" s="113"/>
      <c r="S110" s="1"/>
      <c r="U110" s="1"/>
      <c r="V110" s="1"/>
      <c r="W110" s="1"/>
      <c r="X110" s="1"/>
      <c r="Y110" s="1"/>
      <c r="Z110" s="1"/>
    </row>
    <row r="111" spans="1:27" ht="22.2" customHeight="1">
      <c r="A111" s="28">
        <v>14</v>
      </c>
      <c r="B111" s="34" t="s">
        <v>933</v>
      </c>
      <c r="C111" s="34"/>
      <c r="D111" s="209"/>
      <c r="E111" s="144"/>
      <c r="F111" s="176">
        <v>1950</v>
      </c>
      <c r="G111" s="173"/>
      <c r="H111" s="176">
        <f t="shared" si="11"/>
        <v>3900</v>
      </c>
      <c r="I111" s="28">
        <v>3900</v>
      </c>
      <c r="J111" s="123">
        <f t="shared" si="14"/>
        <v>0</v>
      </c>
      <c r="K111" s="140"/>
      <c r="L111" s="1">
        <f t="shared" si="12"/>
        <v>3900</v>
      </c>
      <c r="M111" s="113"/>
      <c r="N111" s="113"/>
      <c r="O111" s="113"/>
      <c r="P111" s="113"/>
      <c r="Q111" s="113"/>
      <c r="R111" s="113"/>
      <c r="S111" s="1"/>
      <c r="U111" s="1"/>
      <c r="V111" s="1"/>
      <c r="W111" s="1"/>
      <c r="X111" s="1"/>
      <c r="Y111" s="1"/>
      <c r="Z111" s="1"/>
    </row>
    <row r="112" spans="1:27" ht="35.4" customHeight="1">
      <c r="A112" s="28">
        <v>15</v>
      </c>
      <c r="B112" s="140" t="s">
        <v>934</v>
      </c>
      <c r="C112" s="34"/>
      <c r="D112" s="209"/>
      <c r="E112" s="144"/>
      <c r="F112" s="176">
        <v>1950</v>
      </c>
      <c r="G112" s="173"/>
      <c r="H112" s="176">
        <f t="shared" si="11"/>
        <v>3900</v>
      </c>
      <c r="I112" s="28">
        <v>3900</v>
      </c>
      <c r="J112" s="123">
        <f t="shared" si="14"/>
        <v>0</v>
      </c>
      <c r="L112" s="1">
        <f t="shared" si="12"/>
        <v>3900</v>
      </c>
      <c r="M112" s="113"/>
      <c r="N112" s="113"/>
      <c r="O112" s="113"/>
      <c r="P112" s="113"/>
      <c r="Q112" s="113"/>
      <c r="R112" s="113"/>
      <c r="S112" s="1"/>
      <c r="U112" s="1"/>
      <c r="V112" s="1"/>
      <c r="W112" s="1"/>
      <c r="X112" s="1"/>
      <c r="Y112" s="1"/>
      <c r="Z112" s="1"/>
    </row>
    <row r="113" spans="1:26" ht="36.6" customHeight="1">
      <c r="A113" s="75"/>
      <c r="B113" s="206"/>
      <c r="C113" s="64"/>
      <c r="D113" s="207"/>
      <c r="E113" s="208"/>
      <c r="F113" s="146"/>
      <c r="G113" s="173"/>
      <c r="H113" s="210"/>
      <c r="I113" s="205"/>
      <c r="J113" s="211"/>
      <c r="K113" s="206"/>
      <c r="M113" s="113"/>
      <c r="N113" s="113"/>
      <c r="O113" s="113"/>
      <c r="P113" s="113"/>
      <c r="Q113" s="113"/>
      <c r="R113" s="113"/>
      <c r="S113" s="1"/>
      <c r="U113" s="1"/>
      <c r="V113" s="1"/>
      <c r="W113" s="1"/>
      <c r="X113" s="1"/>
      <c r="Y113" s="1"/>
      <c r="Z113" s="1"/>
    </row>
    <row r="114" spans="1:26" ht="33" customHeight="1">
      <c r="A114" s="480" t="s">
        <v>3</v>
      </c>
      <c r="B114" s="481"/>
      <c r="C114" s="481"/>
      <c r="D114" s="481"/>
      <c r="E114" s="482"/>
      <c r="F114" s="57">
        <f>SUM(F98:F113)</f>
        <v>26350</v>
      </c>
      <c r="G114" s="173"/>
      <c r="H114" s="57">
        <f t="shared" ref="H114:J114" si="15">SUM(H98:H113)</f>
        <v>52700</v>
      </c>
      <c r="I114" s="57">
        <f t="shared" si="15"/>
        <v>52700</v>
      </c>
      <c r="J114" s="57">
        <f t="shared" si="15"/>
        <v>0</v>
      </c>
      <c r="M114" s="113"/>
      <c r="N114" s="113"/>
      <c r="O114" s="113"/>
      <c r="P114" s="113"/>
      <c r="Q114" s="113"/>
      <c r="R114" s="113"/>
      <c r="S114" s="1"/>
      <c r="U114" s="1"/>
      <c r="V114" s="1"/>
      <c r="W114" s="1"/>
      <c r="X114" s="1"/>
      <c r="Y114" s="1"/>
      <c r="Z114" s="1"/>
    </row>
    <row r="115" spans="1:26" ht="25.2" customHeight="1">
      <c r="A115" s="488" t="s">
        <v>30</v>
      </c>
      <c r="B115" s="489"/>
      <c r="C115" s="489"/>
      <c r="D115" s="489"/>
      <c r="E115" s="489"/>
      <c r="F115" s="489"/>
      <c r="G115" s="489"/>
      <c r="H115" s="489"/>
      <c r="I115" s="489"/>
      <c r="J115" s="489"/>
      <c r="K115" s="490"/>
      <c r="L115" s="218"/>
      <c r="O115" s="113"/>
      <c r="P115" s="113"/>
      <c r="Q115" s="113"/>
      <c r="R115" s="113"/>
      <c r="S115" s="1"/>
      <c r="U115" s="1"/>
      <c r="V115" s="1"/>
      <c r="W115" s="1"/>
      <c r="X115" s="1"/>
      <c r="Y115" s="1"/>
      <c r="Z115" s="1"/>
    </row>
    <row r="116" spans="1:26" ht="15.6">
      <c r="A116" s="106" t="s">
        <v>4</v>
      </c>
      <c r="B116" s="9" t="s">
        <v>6</v>
      </c>
      <c r="C116" s="106" t="s">
        <v>7</v>
      </c>
      <c r="D116" s="106" t="s">
        <v>0</v>
      </c>
      <c r="E116" s="106"/>
      <c r="F116" s="96" t="s">
        <v>5</v>
      </c>
      <c r="G116" s="108"/>
      <c r="H116" s="115" t="s">
        <v>190</v>
      </c>
      <c r="I116" s="115" t="s">
        <v>820</v>
      </c>
      <c r="J116" s="115" t="s">
        <v>58</v>
      </c>
      <c r="K116" s="97" t="s">
        <v>145</v>
      </c>
      <c r="L116" s="218"/>
      <c r="O116" s="113"/>
      <c r="P116" s="113"/>
      <c r="Q116" s="113"/>
      <c r="R116" s="113"/>
      <c r="S116" s="1"/>
      <c r="U116" s="1"/>
      <c r="V116" s="1"/>
      <c r="W116" s="1"/>
      <c r="X116" s="1"/>
      <c r="Y116" s="1"/>
      <c r="Z116" s="1"/>
    </row>
    <row r="117" spans="1:26" ht="15" customHeight="1">
      <c r="A117" s="28">
        <v>1</v>
      </c>
      <c r="B117" s="34" t="s">
        <v>813</v>
      </c>
      <c r="C117" s="39" t="s">
        <v>545</v>
      </c>
      <c r="D117" s="13"/>
      <c r="E117" s="73"/>
      <c r="F117" s="176">
        <v>1950</v>
      </c>
      <c r="G117" s="67"/>
      <c r="H117" s="176">
        <f>+F117*2</f>
        <v>3900</v>
      </c>
      <c r="I117" s="227">
        <v>3900</v>
      </c>
      <c r="J117" s="123">
        <f>+H117-I117</f>
        <v>0</v>
      </c>
      <c r="K117" s="4"/>
      <c r="L117" s="218">
        <f>+J117+F117*2</f>
        <v>3900</v>
      </c>
      <c r="O117" s="113"/>
      <c r="P117" s="113"/>
      <c r="Q117" s="113"/>
      <c r="R117" s="113"/>
      <c r="S117" s="1"/>
      <c r="U117" s="1"/>
      <c r="V117" s="1"/>
      <c r="W117" s="1"/>
      <c r="X117" s="1"/>
      <c r="Y117" s="1"/>
      <c r="Z117" s="1"/>
    </row>
    <row r="118" spans="1:26" ht="15" customHeight="1">
      <c r="A118" s="33">
        <v>2</v>
      </c>
      <c r="B118" s="5" t="s">
        <v>516</v>
      </c>
      <c r="C118" s="15" t="s">
        <v>517</v>
      </c>
      <c r="D118" s="81" t="s">
        <v>518</v>
      </c>
      <c r="E118" s="81" t="str">
        <f>+D118</f>
        <v>03348301159</v>
      </c>
      <c r="F118" s="176">
        <v>1950</v>
      </c>
      <c r="G118" s="20"/>
      <c r="H118" s="176">
        <f t="shared" ref="H118:H131" si="16">+F118*2</f>
        <v>3900</v>
      </c>
      <c r="I118" s="227">
        <v>3900</v>
      </c>
      <c r="J118" s="123">
        <f>+H118-I118</f>
        <v>0</v>
      </c>
      <c r="K118" s="6"/>
      <c r="L118" s="218">
        <f t="shared" ref="L118:L132" si="17">+J118+F118*2</f>
        <v>3900</v>
      </c>
      <c r="O118" s="113"/>
      <c r="P118" s="113"/>
      <c r="Q118" s="113"/>
      <c r="R118" s="113"/>
      <c r="S118" s="1"/>
      <c r="U118" s="1"/>
      <c r="V118" s="1"/>
      <c r="W118" s="1"/>
      <c r="X118" s="1"/>
      <c r="Y118" s="1"/>
      <c r="Z118" s="1"/>
    </row>
    <row r="119" spans="1:26" ht="30.6" customHeight="1">
      <c r="A119" s="33">
        <v>3</v>
      </c>
      <c r="B119" s="34" t="s">
        <v>513</v>
      </c>
      <c r="C119" s="34" t="s">
        <v>612</v>
      </c>
      <c r="D119" s="81" t="s">
        <v>613</v>
      </c>
      <c r="E119" s="81" t="s">
        <v>582</v>
      </c>
      <c r="F119" s="176">
        <v>1950</v>
      </c>
      <c r="G119" s="20"/>
      <c r="H119" s="176">
        <f t="shared" si="16"/>
        <v>3900</v>
      </c>
      <c r="I119" s="227">
        <v>3900</v>
      </c>
      <c r="J119" s="123">
        <f>+H119-I119</f>
        <v>0</v>
      </c>
      <c r="K119" s="6"/>
      <c r="L119" s="218">
        <f t="shared" si="17"/>
        <v>3900</v>
      </c>
      <c r="O119" s="113"/>
      <c r="P119" s="113"/>
      <c r="Q119" s="113"/>
      <c r="R119" s="113"/>
      <c r="S119" s="1"/>
      <c r="U119" s="1"/>
      <c r="V119" s="1"/>
      <c r="W119" s="1"/>
      <c r="X119" s="1"/>
      <c r="Y119" s="1"/>
      <c r="Z119" s="1"/>
    </row>
    <row r="120" spans="1:26" ht="15" customHeight="1">
      <c r="A120" s="28">
        <v>4</v>
      </c>
      <c r="B120" s="39" t="s">
        <v>97</v>
      </c>
      <c r="C120" s="39" t="s">
        <v>620</v>
      </c>
      <c r="D120" s="73" t="s">
        <v>621</v>
      </c>
      <c r="E120" s="73" t="s">
        <v>622</v>
      </c>
      <c r="F120" s="176">
        <v>1950</v>
      </c>
      <c r="G120" s="67"/>
      <c r="H120" s="176">
        <f t="shared" si="16"/>
        <v>3900</v>
      </c>
      <c r="I120" s="227">
        <v>3900</v>
      </c>
      <c r="J120" s="123">
        <f>+H120-I120</f>
        <v>0</v>
      </c>
      <c r="K120" s="4"/>
      <c r="L120" s="218">
        <f t="shared" si="17"/>
        <v>3900</v>
      </c>
      <c r="O120" s="113"/>
      <c r="P120" s="113"/>
      <c r="Q120" s="113"/>
      <c r="R120" s="113"/>
      <c r="S120" s="1"/>
      <c r="U120" s="1"/>
      <c r="V120" s="1"/>
      <c r="W120" s="1"/>
      <c r="X120" s="1"/>
      <c r="Y120" s="1"/>
      <c r="Z120" s="1"/>
    </row>
    <row r="121" spans="1:26" ht="15" customHeight="1">
      <c r="A121" s="33">
        <v>5</v>
      </c>
      <c r="B121" s="34" t="s">
        <v>525</v>
      </c>
      <c r="C121" s="15" t="s">
        <v>526</v>
      </c>
      <c r="D121" s="81" t="s">
        <v>527</v>
      </c>
      <c r="E121" s="81" t="str">
        <f>+D121</f>
        <v>03334294482</v>
      </c>
      <c r="F121" s="176">
        <v>1950</v>
      </c>
      <c r="G121" s="20"/>
      <c r="H121" s="176">
        <f t="shared" si="16"/>
        <v>3900</v>
      </c>
      <c r="I121" s="227">
        <v>3900</v>
      </c>
      <c r="J121" s="123">
        <f t="shared" ref="J121" si="18">+H121-I121</f>
        <v>0</v>
      </c>
      <c r="K121" s="6"/>
      <c r="L121" s="218">
        <f t="shared" si="17"/>
        <v>3900</v>
      </c>
      <c r="O121" s="113"/>
      <c r="P121" s="113"/>
      <c r="Q121" s="113"/>
      <c r="R121" s="113"/>
      <c r="S121" s="1"/>
      <c r="U121" s="1"/>
      <c r="V121" s="1"/>
      <c r="W121" s="1"/>
      <c r="X121" s="1"/>
      <c r="Y121" s="1"/>
      <c r="Z121" s="1"/>
    </row>
    <row r="122" spans="1:26" ht="15" customHeight="1">
      <c r="A122" s="33">
        <v>6</v>
      </c>
      <c r="B122" s="34" t="s">
        <v>631</v>
      </c>
      <c r="C122" s="39" t="s">
        <v>233</v>
      </c>
      <c r="D122" s="73" t="s">
        <v>632</v>
      </c>
      <c r="E122" s="73" t="s">
        <v>632</v>
      </c>
      <c r="F122" s="176">
        <v>1950</v>
      </c>
      <c r="G122" s="67"/>
      <c r="H122" s="176">
        <f t="shared" si="16"/>
        <v>3900</v>
      </c>
      <c r="I122" s="227">
        <v>2000</v>
      </c>
      <c r="J122" s="123">
        <f t="shared" ref="J122:J131" si="19">+H122-I122</f>
        <v>1900</v>
      </c>
      <c r="K122" s="4"/>
      <c r="L122" s="218">
        <f t="shared" si="17"/>
        <v>5800</v>
      </c>
      <c r="O122" s="113"/>
      <c r="P122" s="113"/>
      <c r="Q122" s="113"/>
      <c r="R122" s="113"/>
      <c r="S122" s="1"/>
      <c r="U122" s="1"/>
      <c r="V122" s="1"/>
      <c r="W122" s="1"/>
      <c r="X122" s="1"/>
      <c r="Y122" s="1"/>
      <c r="Z122" s="1"/>
    </row>
    <row r="123" spans="1:26" ht="15" customHeight="1">
      <c r="A123" s="28">
        <v>7</v>
      </c>
      <c r="B123" s="34" t="s">
        <v>689</v>
      </c>
      <c r="C123" s="39" t="s">
        <v>690</v>
      </c>
      <c r="D123" s="73" t="s">
        <v>713</v>
      </c>
      <c r="E123" s="73"/>
      <c r="F123" s="176">
        <v>1000</v>
      </c>
      <c r="G123" s="67"/>
      <c r="H123" s="176">
        <f t="shared" si="16"/>
        <v>2000</v>
      </c>
      <c r="I123" s="227">
        <v>2000</v>
      </c>
      <c r="J123" s="123">
        <f t="shared" si="19"/>
        <v>0</v>
      </c>
      <c r="K123" s="4"/>
      <c r="L123" s="218">
        <f t="shared" si="17"/>
        <v>2000</v>
      </c>
      <c r="O123" s="113"/>
      <c r="P123" s="113"/>
      <c r="Q123" s="113"/>
      <c r="R123" s="113"/>
      <c r="S123" s="1"/>
      <c r="U123" s="1"/>
      <c r="V123" s="1"/>
      <c r="W123" s="1"/>
      <c r="X123" s="1"/>
      <c r="Y123" s="1"/>
      <c r="Z123" s="1"/>
    </row>
    <row r="124" spans="1:26" ht="15" customHeight="1">
      <c r="A124" s="33">
        <v>8</v>
      </c>
      <c r="B124" s="34" t="s">
        <v>777</v>
      </c>
      <c r="C124" s="39" t="s">
        <v>778</v>
      </c>
      <c r="D124" s="73" t="s">
        <v>782</v>
      </c>
      <c r="E124" s="73"/>
      <c r="F124" s="176">
        <v>1950</v>
      </c>
      <c r="G124" s="67"/>
      <c r="H124" s="176">
        <f t="shared" si="16"/>
        <v>3900</v>
      </c>
      <c r="I124" s="227">
        <v>3900</v>
      </c>
      <c r="J124" s="123">
        <f t="shared" si="19"/>
        <v>0</v>
      </c>
      <c r="K124" s="4"/>
      <c r="L124" s="218">
        <f t="shared" si="17"/>
        <v>3900</v>
      </c>
      <c r="O124" s="113"/>
      <c r="P124" s="113"/>
      <c r="Q124" s="113"/>
      <c r="R124" s="113"/>
      <c r="S124" s="1"/>
      <c r="U124" s="1"/>
      <c r="V124" s="1"/>
      <c r="W124" s="1"/>
      <c r="X124" s="1"/>
      <c r="Y124" s="1"/>
      <c r="Z124" s="1"/>
    </row>
    <row r="125" spans="1:26" ht="15" customHeight="1">
      <c r="A125" s="33">
        <v>9</v>
      </c>
      <c r="B125" s="34" t="s">
        <v>775</v>
      </c>
      <c r="C125" s="39" t="s">
        <v>776</v>
      </c>
      <c r="D125" s="73" t="s">
        <v>780</v>
      </c>
      <c r="E125" s="73" t="s">
        <v>781</v>
      </c>
      <c r="F125" s="176">
        <v>1950</v>
      </c>
      <c r="G125" s="67"/>
      <c r="H125" s="176">
        <f t="shared" si="16"/>
        <v>3900</v>
      </c>
      <c r="I125" s="227">
        <v>3900</v>
      </c>
      <c r="J125" s="123">
        <f t="shared" si="19"/>
        <v>0</v>
      </c>
      <c r="K125" s="4"/>
      <c r="L125" s="218">
        <f t="shared" si="17"/>
        <v>3900</v>
      </c>
      <c r="O125" s="113"/>
      <c r="P125" s="113"/>
      <c r="Q125" s="113"/>
      <c r="R125" s="113"/>
      <c r="S125" s="1"/>
      <c r="U125" s="1"/>
      <c r="V125" s="1"/>
      <c r="W125" s="1"/>
      <c r="X125" s="1"/>
      <c r="Y125" s="1"/>
      <c r="Z125" s="1"/>
    </row>
    <row r="126" spans="1:26" ht="15" customHeight="1">
      <c r="A126" s="28">
        <v>10</v>
      </c>
      <c r="B126" s="34" t="s">
        <v>779</v>
      </c>
      <c r="C126" s="39" t="s">
        <v>755</v>
      </c>
      <c r="D126" s="73" t="s">
        <v>761</v>
      </c>
      <c r="E126" s="73"/>
      <c r="F126" s="176">
        <v>1950</v>
      </c>
      <c r="G126" s="67"/>
      <c r="H126" s="176">
        <f t="shared" si="16"/>
        <v>3900</v>
      </c>
      <c r="I126" s="227">
        <v>3900</v>
      </c>
      <c r="J126" s="123">
        <f t="shared" si="19"/>
        <v>0</v>
      </c>
      <c r="K126" s="4"/>
      <c r="L126" s="218">
        <f t="shared" si="17"/>
        <v>3900</v>
      </c>
      <c r="O126" s="113"/>
      <c r="P126" s="113"/>
      <c r="Q126" s="113"/>
      <c r="R126" s="113"/>
      <c r="S126" s="1"/>
      <c r="U126" s="1"/>
      <c r="V126" s="1"/>
      <c r="W126" s="1"/>
      <c r="X126" s="1"/>
      <c r="Y126" s="1"/>
      <c r="Z126" s="1"/>
    </row>
    <row r="127" spans="1:26" ht="15" customHeight="1">
      <c r="A127" s="33">
        <v>11</v>
      </c>
      <c r="B127" s="34" t="s">
        <v>804</v>
      </c>
      <c r="C127" s="39"/>
      <c r="D127" s="13"/>
      <c r="E127" s="73"/>
      <c r="F127" s="176">
        <v>1950</v>
      </c>
      <c r="G127" s="67"/>
      <c r="H127" s="176">
        <f t="shared" si="16"/>
        <v>3900</v>
      </c>
      <c r="I127" s="227">
        <v>3900</v>
      </c>
      <c r="J127" s="123">
        <f t="shared" si="19"/>
        <v>0</v>
      </c>
      <c r="K127" s="4"/>
      <c r="L127" s="218">
        <f t="shared" si="17"/>
        <v>3900</v>
      </c>
      <c r="O127" s="113"/>
      <c r="P127" s="113"/>
      <c r="Q127" s="113"/>
      <c r="R127" s="113"/>
      <c r="S127" s="1"/>
      <c r="U127" s="1"/>
      <c r="V127" s="1"/>
      <c r="W127" s="1"/>
      <c r="X127" s="1"/>
      <c r="Y127" s="1"/>
      <c r="Z127" s="1"/>
    </row>
    <row r="128" spans="1:26" ht="15" customHeight="1">
      <c r="A128" s="33">
        <v>12</v>
      </c>
      <c r="B128" s="34" t="s">
        <v>607</v>
      </c>
      <c r="C128" s="15" t="s">
        <v>257</v>
      </c>
      <c r="D128" s="81" t="s">
        <v>567</v>
      </c>
      <c r="E128" s="81"/>
      <c r="F128" s="176">
        <v>1950</v>
      </c>
      <c r="G128" s="20"/>
      <c r="H128" s="176">
        <f t="shared" si="16"/>
        <v>3900</v>
      </c>
      <c r="I128" s="227">
        <v>3900</v>
      </c>
      <c r="J128" s="123">
        <f t="shared" si="19"/>
        <v>0</v>
      </c>
      <c r="K128" s="6"/>
      <c r="L128" s="218">
        <f t="shared" si="17"/>
        <v>3900</v>
      </c>
      <c r="O128" s="113"/>
      <c r="P128" s="113"/>
      <c r="Q128" s="113"/>
      <c r="R128" s="113"/>
      <c r="S128" s="1"/>
      <c r="U128" s="1"/>
      <c r="V128" s="1"/>
      <c r="W128" s="1"/>
      <c r="X128" s="1"/>
      <c r="Y128" s="1"/>
      <c r="Z128" s="1"/>
    </row>
    <row r="129" spans="1:27" ht="23.4" customHeight="1">
      <c r="A129" s="28">
        <v>13</v>
      </c>
      <c r="B129" s="34" t="s">
        <v>179</v>
      </c>
      <c r="C129" s="39" t="s">
        <v>817</v>
      </c>
      <c r="D129" s="13"/>
      <c r="E129" s="73"/>
      <c r="F129" s="176">
        <v>1000</v>
      </c>
      <c r="G129" s="67"/>
      <c r="H129" s="176">
        <f t="shared" si="16"/>
        <v>2000</v>
      </c>
      <c r="I129" s="227">
        <v>2000</v>
      </c>
      <c r="J129" s="123">
        <f t="shared" si="19"/>
        <v>0</v>
      </c>
      <c r="K129" s="4"/>
      <c r="L129" s="218">
        <f t="shared" si="17"/>
        <v>2000</v>
      </c>
      <c r="O129" s="113"/>
      <c r="P129" s="113"/>
      <c r="Q129" s="113"/>
      <c r="R129" s="113"/>
      <c r="S129" s="1"/>
      <c r="U129" s="1"/>
      <c r="V129" s="1"/>
      <c r="W129" s="1"/>
      <c r="X129" s="1"/>
      <c r="Y129" s="1"/>
      <c r="Z129" s="1"/>
    </row>
    <row r="130" spans="1:27" ht="15.6" customHeight="1">
      <c r="A130" s="33">
        <v>14</v>
      </c>
      <c r="B130" s="34" t="s">
        <v>935</v>
      </c>
      <c r="C130" s="39"/>
      <c r="D130" s="13"/>
      <c r="E130" s="73"/>
      <c r="F130" s="176">
        <v>1950</v>
      </c>
      <c r="G130" s="67"/>
      <c r="H130" s="176">
        <f t="shared" si="16"/>
        <v>3900</v>
      </c>
      <c r="I130" s="233">
        <v>3900</v>
      </c>
      <c r="J130" s="123">
        <f t="shared" si="19"/>
        <v>0</v>
      </c>
      <c r="K130" s="4"/>
      <c r="L130" s="218">
        <f t="shared" si="17"/>
        <v>3900</v>
      </c>
      <c r="O130" s="113"/>
      <c r="P130" s="113"/>
      <c r="Q130" s="113"/>
      <c r="R130" s="113"/>
      <c r="S130" s="1"/>
      <c r="U130" s="1"/>
      <c r="V130" s="1"/>
      <c r="W130" s="1"/>
      <c r="X130" s="1"/>
      <c r="Y130" s="1"/>
      <c r="Z130" s="1"/>
    </row>
    <row r="131" spans="1:27" ht="15.6" customHeight="1">
      <c r="A131" s="33">
        <v>15</v>
      </c>
      <c r="B131" s="34" t="s">
        <v>936</v>
      </c>
      <c r="C131" s="39"/>
      <c r="D131" s="13"/>
      <c r="E131" s="73"/>
      <c r="F131" s="176">
        <v>1000</v>
      </c>
      <c r="G131" s="67"/>
      <c r="H131" s="176">
        <f t="shared" si="16"/>
        <v>2000</v>
      </c>
      <c r="I131" s="233">
        <v>2000</v>
      </c>
      <c r="J131" s="123">
        <f t="shared" si="19"/>
        <v>0</v>
      </c>
      <c r="K131" s="4"/>
      <c r="L131" s="218">
        <f t="shared" si="17"/>
        <v>2000</v>
      </c>
      <c r="O131" s="113"/>
      <c r="P131" s="113"/>
      <c r="Q131" s="113"/>
      <c r="R131" s="113"/>
      <c r="S131" s="1"/>
      <c r="U131" s="1"/>
      <c r="V131" s="1"/>
      <c r="W131" s="1"/>
      <c r="X131" s="1"/>
      <c r="Y131" s="1"/>
      <c r="Z131" s="1"/>
    </row>
    <row r="132" spans="1:27" ht="15.6" customHeight="1">
      <c r="A132" s="75"/>
      <c r="B132" s="64"/>
      <c r="C132" s="119"/>
      <c r="D132" s="135"/>
      <c r="E132" s="120"/>
      <c r="F132" s="53"/>
      <c r="G132" s="67"/>
      <c r="H132" s="214"/>
      <c r="I132" s="215"/>
      <c r="J132" s="216"/>
      <c r="K132" s="4"/>
      <c r="L132" s="218">
        <f t="shared" si="17"/>
        <v>0</v>
      </c>
      <c r="O132" s="113"/>
      <c r="P132" s="113"/>
      <c r="Q132" s="113"/>
      <c r="R132" s="113"/>
      <c r="S132" s="1"/>
      <c r="U132" s="1"/>
      <c r="V132" s="1"/>
      <c r="W132" s="1"/>
      <c r="X132" s="1"/>
      <c r="Y132" s="1"/>
      <c r="Z132" s="1"/>
    </row>
    <row r="133" spans="1:27" ht="27.6" customHeight="1">
      <c r="A133" s="494" t="s">
        <v>3</v>
      </c>
      <c r="B133" s="496"/>
      <c r="C133" s="496"/>
      <c r="D133" s="496"/>
      <c r="E133" s="495"/>
      <c r="F133" s="10">
        <f>SUM(F117:F132)</f>
        <v>26400</v>
      </c>
      <c r="G133" s="20"/>
      <c r="H133" s="10">
        <f t="shared" ref="H133:J133" si="20">SUM(H117:H132)</f>
        <v>52800</v>
      </c>
      <c r="I133" s="10">
        <f t="shared" si="20"/>
        <v>50900</v>
      </c>
      <c r="J133" s="10">
        <f t="shared" si="20"/>
        <v>1900</v>
      </c>
      <c r="K133" s="105"/>
      <c r="L133" s="218"/>
      <c r="O133" s="113"/>
      <c r="P133" s="113"/>
      <c r="Q133" s="113"/>
      <c r="R133" s="113"/>
      <c r="S133" s="1"/>
      <c r="U133" s="1"/>
      <c r="V133" s="1"/>
      <c r="W133" s="1"/>
      <c r="X133" s="1"/>
      <c r="Y133" s="1"/>
      <c r="Z133" s="1"/>
    </row>
    <row r="134" spans="1:27" ht="21.6" customHeight="1">
      <c r="A134" s="487" t="s">
        <v>33</v>
      </c>
      <c r="B134" s="487"/>
      <c r="C134" s="487"/>
      <c r="D134" s="487"/>
      <c r="E134" s="487"/>
      <c r="F134" s="487"/>
      <c r="G134" s="487"/>
      <c r="H134" s="487"/>
      <c r="I134" s="487"/>
      <c r="J134" s="487"/>
      <c r="K134" s="487"/>
      <c r="L134" s="218"/>
      <c r="O134" s="113"/>
      <c r="P134" s="113"/>
      <c r="Q134" s="113"/>
      <c r="R134" s="113"/>
      <c r="S134" s="1"/>
      <c r="U134" s="1"/>
      <c r="V134" s="1"/>
      <c r="W134" s="1"/>
      <c r="X134" s="1"/>
      <c r="Y134" s="1"/>
      <c r="Z134" s="1"/>
    </row>
    <row r="135" spans="1:27" ht="22.95" customHeight="1">
      <c r="A135" s="99" t="s">
        <v>4</v>
      </c>
      <c r="B135" s="219" t="s">
        <v>6</v>
      </c>
      <c r="C135" s="99" t="s">
        <v>7</v>
      </c>
      <c r="D135" s="99" t="s">
        <v>0</v>
      </c>
      <c r="E135" s="99"/>
      <c r="F135" s="100" t="s">
        <v>5</v>
      </c>
      <c r="G135" s="108"/>
      <c r="H135" s="107" t="s">
        <v>190</v>
      </c>
      <c r="I135" s="115" t="s">
        <v>820</v>
      </c>
      <c r="J135" s="107" t="s">
        <v>58</v>
      </c>
      <c r="K135" s="101" t="s">
        <v>145</v>
      </c>
      <c r="L135" s="1"/>
      <c r="M135" s="113"/>
      <c r="N135" s="113"/>
      <c r="O135" s="113"/>
      <c r="P135" s="113"/>
      <c r="Q135" s="113"/>
      <c r="R135" s="113"/>
      <c r="S135" s="1"/>
      <c r="U135" s="1"/>
      <c r="V135" s="1"/>
      <c r="W135" s="1"/>
      <c r="X135" s="1"/>
      <c r="Y135" s="1"/>
      <c r="Z135" s="1"/>
    </row>
    <row r="136" spans="1:27" ht="22.95" customHeight="1">
      <c r="A136" s="33">
        <v>1</v>
      </c>
      <c r="B136" s="5" t="s">
        <v>291</v>
      </c>
      <c r="C136" s="5" t="s">
        <v>532</v>
      </c>
      <c r="D136" s="37" t="s">
        <v>533</v>
      </c>
      <c r="E136" s="37" t="str">
        <f>+D136</f>
        <v>03340587552</v>
      </c>
      <c r="F136" s="185">
        <v>1950</v>
      </c>
      <c r="G136" s="20"/>
      <c r="H136" s="185">
        <f>+F136*2</f>
        <v>3900</v>
      </c>
      <c r="I136" s="33">
        <v>3900</v>
      </c>
      <c r="J136" s="33">
        <f t="shared" ref="J136:J144" si="21">+H136-I136</f>
        <v>0</v>
      </c>
      <c r="K136" s="4"/>
      <c r="L136" s="356">
        <f>+J136+F136*2</f>
        <v>3900</v>
      </c>
      <c r="M136" s="113"/>
      <c r="N136" s="113"/>
      <c r="O136" s="113"/>
      <c r="P136" s="113"/>
      <c r="Q136" s="113"/>
      <c r="R136" s="113"/>
      <c r="S136" s="1"/>
      <c r="U136" s="1"/>
      <c r="V136" s="1"/>
      <c r="W136" s="1"/>
      <c r="X136" s="1"/>
      <c r="Y136" s="1"/>
      <c r="Z136" s="1"/>
    </row>
    <row r="137" spans="1:27" ht="22.95" customHeight="1">
      <c r="A137" s="33">
        <v>2</v>
      </c>
      <c r="B137" s="5" t="s">
        <v>540</v>
      </c>
      <c r="C137" s="5" t="s">
        <v>541</v>
      </c>
      <c r="D137" s="37" t="s">
        <v>542</v>
      </c>
      <c r="E137" s="81" t="s">
        <v>543</v>
      </c>
      <c r="F137" s="220"/>
      <c r="G137" s="20"/>
      <c r="H137" s="185">
        <f t="shared" ref="H137:H144" si="22">+F137*2</f>
        <v>0</v>
      </c>
      <c r="I137" s="351">
        <v>0</v>
      </c>
      <c r="J137" s="33">
        <f t="shared" si="21"/>
        <v>0</v>
      </c>
      <c r="K137" s="4"/>
      <c r="L137" s="356">
        <f t="shared" ref="L137:L144" si="23">+J137+F137*2</f>
        <v>0</v>
      </c>
      <c r="M137" s="113"/>
      <c r="N137" s="113"/>
      <c r="O137" s="113"/>
      <c r="P137" s="113"/>
      <c r="Q137" s="113"/>
      <c r="R137" s="113"/>
      <c r="S137" s="1"/>
      <c r="U137" s="1"/>
      <c r="V137" s="1"/>
      <c r="W137" s="1"/>
      <c r="X137" s="1"/>
      <c r="Y137" s="1"/>
      <c r="Z137" s="1"/>
    </row>
    <row r="138" spans="1:27" ht="15.6">
      <c r="A138" s="33">
        <v>3</v>
      </c>
      <c r="B138" s="5" t="s">
        <v>486</v>
      </c>
      <c r="C138" s="5" t="s">
        <v>487</v>
      </c>
      <c r="D138" s="37" t="s">
        <v>488</v>
      </c>
      <c r="E138" s="81" t="s">
        <v>488</v>
      </c>
      <c r="F138" s="220">
        <v>1950</v>
      </c>
      <c r="G138" s="20"/>
      <c r="H138" s="185">
        <f t="shared" si="22"/>
        <v>3900</v>
      </c>
      <c r="I138" s="33">
        <v>3900</v>
      </c>
      <c r="J138" s="33">
        <f t="shared" si="21"/>
        <v>0</v>
      </c>
      <c r="K138" s="4"/>
      <c r="L138" s="356">
        <f t="shared" si="23"/>
        <v>3900</v>
      </c>
      <c r="M138" s="113"/>
      <c r="N138" s="113"/>
      <c r="O138" s="113"/>
      <c r="P138" s="113"/>
      <c r="Q138" s="113"/>
      <c r="R138" s="113"/>
      <c r="S138" s="1"/>
      <c r="U138" s="1"/>
      <c r="V138" s="1"/>
      <c r="W138" s="1"/>
      <c r="X138" s="1"/>
      <c r="Y138" s="1"/>
      <c r="Z138" s="1"/>
    </row>
    <row r="139" spans="1:27" ht="19.2" customHeight="1">
      <c r="A139" s="33">
        <v>4</v>
      </c>
      <c r="B139" s="5" t="s">
        <v>444</v>
      </c>
      <c r="C139" s="5" t="s">
        <v>111</v>
      </c>
      <c r="D139" s="81" t="s">
        <v>585</v>
      </c>
      <c r="E139" s="81"/>
      <c r="F139" s="220">
        <v>1950</v>
      </c>
      <c r="G139" s="109"/>
      <c r="H139" s="185">
        <f t="shared" si="22"/>
        <v>3900</v>
      </c>
      <c r="I139" s="33">
        <v>3900</v>
      </c>
      <c r="J139" s="33">
        <f t="shared" si="21"/>
        <v>0</v>
      </c>
      <c r="K139" s="4"/>
      <c r="L139" s="356">
        <f t="shared" si="23"/>
        <v>3900</v>
      </c>
      <c r="M139" s="113"/>
      <c r="N139" s="113"/>
      <c r="O139" s="113"/>
      <c r="P139" s="113"/>
      <c r="Q139" s="113"/>
      <c r="R139" s="113"/>
      <c r="S139" s="1"/>
      <c r="U139" s="1"/>
      <c r="V139" s="1"/>
      <c r="W139" s="1"/>
      <c r="X139" s="1"/>
      <c r="Y139" s="1"/>
      <c r="Z139" s="1"/>
    </row>
    <row r="140" spans="1:27" ht="15.6">
      <c r="A140" s="33">
        <v>5</v>
      </c>
      <c r="B140" s="5" t="s">
        <v>568</v>
      </c>
      <c r="C140" s="5" t="s">
        <v>565</v>
      </c>
      <c r="D140" s="81" t="s">
        <v>566</v>
      </c>
      <c r="E140" s="81"/>
      <c r="F140" s="220">
        <v>1000</v>
      </c>
      <c r="G140" s="109"/>
      <c r="H140" s="185">
        <f t="shared" si="22"/>
        <v>2000</v>
      </c>
      <c r="I140" s="33">
        <v>2000</v>
      </c>
      <c r="J140" s="33">
        <f t="shared" si="21"/>
        <v>0</v>
      </c>
      <c r="K140" s="4"/>
      <c r="L140" s="356">
        <f t="shared" si="23"/>
        <v>2000</v>
      </c>
      <c r="M140" s="113"/>
      <c r="N140" s="113"/>
      <c r="O140" s="113"/>
      <c r="P140" s="113"/>
      <c r="Q140" s="113"/>
      <c r="R140" s="113"/>
      <c r="S140" s="1"/>
      <c r="U140" s="1"/>
      <c r="V140" s="1"/>
      <c r="W140" s="1"/>
      <c r="X140" s="1"/>
      <c r="Y140" s="1"/>
    </row>
    <row r="141" spans="1:27" ht="33.6" customHeight="1">
      <c r="A141" s="33">
        <v>6</v>
      </c>
      <c r="B141" s="5" t="s">
        <v>496</v>
      </c>
      <c r="C141" s="5" t="s">
        <v>681</v>
      </c>
      <c r="D141" s="217" t="s">
        <v>714</v>
      </c>
      <c r="E141" s="39"/>
      <c r="F141" s="177">
        <v>1950</v>
      </c>
      <c r="G141" s="109"/>
      <c r="H141" s="185">
        <f t="shared" si="22"/>
        <v>3900</v>
      </c>
      <c r="I141" s="33">
        <v>0</v>
      </c>
      <c r="J141" s="33">
        <f t="shared" si="21"/>
        <v>3900</v>
      </c>
      <c r="K141" s="4"/>
      <c r="L141" s="356">
        <f t="shared" si="23"/>
        <v>7800</v>
      </c>
      <c r="M141" s="113"/>
      <c r="N141" s="113"/>
      <c r="O141" s="113"/>
      <c r="P141" s="113"/>
      <c r="Q141" s="113"/>
      <c r="R141" s="113"/>
      <c r="S141" s="1"/>
      <c r="U141" s="1"/>
      <c r="V141" s="1"/>
      <c r="W141" s="1"/>
      <c r="X141" s="1"/>
      <c r="Y141" s="1"/>
    </row>
    <row r="142" spans="1:27" ht="35.4" customHeight="1">
      <c r="A142" s="33">
        <v>7</v>
      </c>
      <c r="B142" s="5" t="s">
        <v>783</v>
      </c>
      <c r="C142" s="5" t="s">
        <v>79</v>
      </c>
      <c r="D142" s="81" t="s">
        <v>784</v>
      </c>
      <c r="E142" s="39"/>
      <c r="F142" s="177">
        <v>1950</v>
      </c>
      <c r="G142" s="109"/>
      <c r="H142" s="185">
        <f t="shared" si="22"/>
        <v>3900</v>
      </c>
      <c r="I142" s="33">
        <v>3900</v>
      </c>
      <c r="J142" s="33">
        <f t="shared" si="21"/>
        <v>0</v>
      </c>
      <c r="K142" s="4"/>
      <c r="L142" s="356">
        <f t="shared" si="23"/>
        <v>3900</v>
      </c>
      <c r="M142" s="113"/>
      <c r="N142" s="113"/>
      <c r="O142" s="113"/>
      <c r="P142" s="113"/>
      <c r="Q142" s="113"/>
      <c r="R142" s="113"/>
      <c r="S142" s="1"/>
      <c r="U142" s="1"/>
      <c r="V142" s="1"/>
      <c r="W142" s="1"/>
      <c r="X142" s="1"/>
      <c r="Y142" s="1"/>
    </row>
    <row r="143" spans="1:27" ht="37.950000000000003" customHeight="1">
      <c r="A143" s="33">
        <v>8</v>
      </c>
      <c r="B143" s="5" t="s">
        <v>937</v>
      </c>
      <c r="C143" s="5"/>
      <c r="D143" s="81"/>
      <c r="E143" s="39"/>
      <c r="F143" s="177">
        <v>1000</v>
      </c>
      <c r="G143" s="109"/>
      <c r="H143" s="185">
        <f t="shared" si="22"/>
        <v>2000</v>
      </c>
      <c r="I143" s="33">
        <v>2000</v>
      </c>
      <c r="J143" s="33">
        <f t="shared" si="21"/>
        <v>0</v>
      </c>
      <c r="K143" s="4"/>
      <c r="L143" s="356">
        <f t="shared" si="23"/>
        <v>2000</v>
      </c>
      <c r="M143" s="113"/>
      <c r="N143" s="113"/>
      <c r="O143" s="113"/>
      <c r="P143" s="113"/>
      <c r="Q143" s="113"/>
      <c r="R143" s="113"/>
      <c r="S143" s="1"/>
      <c r="U143" s="1"/>
      <c r="V143" s="1"/>
      <c r="W143" s="1"/>
      <c r="X143" s="1"/>
      <c r="Y143" s="1"/>
    </row>
    <row r="144" spans="1:27" ht="36" customHeight="1">
      <c r="A144" s="33">
        <v>9</v>
      </c>
      <c r="B144" s="5" t="s">
        <v>938</v>
      </c>
      <c r="C144" s="5"/>
      <c r="D144" s="81"/>
      <c r="E144" s="39"/>
      <c r="F144" s="177">
        <v>1950</v>
      </c>
      <c r="G144" s="109"/>
      <c r="H144" s="185">
        <f t="shared" si="22"/>
        <v>3900</v>
      </c>
      <c r="I144" s="33">
        <v>3900</v>
      </c>
      <c r="J144" s="33">
        <f t="shared" si="21"/>
        <v>0</v>
      </c>
      <c r="K144" s="4"/>
      <c r="L144" s="356">
        <f t="shared" si="23"/>
        <v>3900</v>
      </c>
      <c r="M144" s="113"/>
      <c r="N144" s="113"/>
      <c r="O144" s="113"/>
      <c r="P144" s="113"/>
      <c r="Q144" s="113"/>
      <c r="R144" s="113"/>
      <c r="S144" s="1"/>
      <c r="T144" s="1"/>
      <c r="U144" s="1"/>
      <c r="V144" s="1"/>
      <c r="W144" s="1"/>
      <c r="X144" s="1"/>
      <c r="Y144" s="1"/>
      <c r="AA144" s="1"/>
    </row>
    <row r="145" spans="1:27" ht="32.4" customHeight="1">
      <c r="A145" s="497" t="s">
        <v>3</v>
      </c>
      <c r="B145" s="498"/>
      <c r="C145" s="498"/>
      <c r="D145" s="498"/>
      <c r="E145" s="499"/>
      <c r="F145" s="47">
        <f>SUM(F136:F144)</f>
        <v>13700</v>
      </c>
      <c r="G145" s="20"/>
      <c r="H145" s="47">
        <f t="shared" ref="H145:J145" si="24">SUM(H136:H144)</f>
        <v>27400</v>
      </c>
      <c r="I145" s="47">
        <f t="shared" si="24"/>
        <v>23500</v>
      </c>
      <c r="J145" s="47">
        <f t="shared" si="24"/>
        <v>3900</v>
      </c>
      <c r="K145" s="69"/>
      <c r="M145" s="113"/>
      <c r="N145" s="113"/>
      <c r="O145" s="113"/>
      <c r="P145" s="113"/>
      <c r="Q145" s="113"/>
      <c r="R145" s="113"/>
      <c r="S145" s="1"/>
      <c r="T145" s="1"/>
      <c r="U145" s="1"/>
      <c r="AA145" s="1"/>
    </row>
    <row r="146" spans="1:27" ht="24" customHeight="1">
      <c r="A146" s="493" t="s">
        <v>656</v>
      </c>
      <c r="B146" s="489"/>
      <c r="C146" s="489"/>
      <c r="D146" s="489"/>
      <c r="E146" s="489"/>
      <c r="F146" s="489"/>
      <c r="G146" s="489"/>
      <c r="H146" s="489"/>
      <c r="I146" s="489"/>
      <c r="J146" s="489"/>
      <c r="K146" s="490"/>
      <c r="M146" s="113"/>
      <c r="N146" s="113"/>
      <c r="O146" s="113"/>
      <c r="P146" s="113"/>
      <c r="Q146" s="113"/>
      <c r="R146" s="113"/>
      <c r="S146" s="1"/>
      <c r="T146" s="1"/>
      <c r="U146" s="1"/>
      <c r="AA146" s="1"/>
    </row>
    <row r="147" spans="1:27" ht="15.6">
      <c r="A147" s="106" t="s">
        <v>4</v>
      </c>
      <c r="B147" s="9" t="s">
        <v>6</v>
      </c>
      <c r="C147" s="9" t="s">
        <v>7</v>
      </c>
      <c r="D147" s="9" t="s">
        <v>0</v>
      </c>
      <c r="E147" s="9"/>
      <c r="F147" s="96" t="s">
        <v>5</v>
      </c>
      <c r="G147" s="108"/>
      <c r="H147" s="115" t="s">
        <v>190</v>
      </c>
      <c r="I147" s="115" t="s">
        <v>820</v>
      </c>
      <c r="J147" s="115" t="s">
        <v>58</v>
      </c>
      <c r="K147" s="97" t="s">
        <v>145</v>
      </c>
      <c r="M147" s="113"/>
      <c r="N147" s="113"/>
      <c r="O147" s="113"/>
      <c r="P147" s="113"/>
      <c r="Q147" s="113"/>
      <c r="R147" s="113"/>
      <c r="S147" s="1"/>
      <c r="T147" s="1"/>
      <c r="U147" s="1"/>
      <c r="AA147" s="1"/>
    </row>
    <row r="148" spans="1:27" ht="15.6">
      <c r="A148" s="66">
        <v>1</v>
      </c>
      <c r="B148" s="39" t="s">
        <v>564</v>
      </c>
      <c r="C148" s="17" t="s">
        <v>565</v>
      </c>
      <c r="D148" s="81" t="s">
        <v>566</v>
      </c>
      <c r="E148" s="151"/>
      <c r="F148" s="187">
        <v>1950</v>
      </c>
      <c r="G148" s="109"/>
      <c r="H148" s="225">
        <f>+F148*2</f>
        <v>3900</v>
      </c>
      <c r="I148" s="227">
        <v>3900</v>
      </c>
      <c r="J148" s="134">
        <f t="shared" ref="J148:J151" si="25">+H148-I148</f>
        <v>0</v>
      </c>
      <c r="K148" s="4"/>
      <c r="L148" s="39"/>
      <c r="M148" s="113"/>
      <c r="N148" s="113"/>
      <c r="O148" s="113"/>
      <c r="P148" s="113"/>
      <c r="Q148" s="113"/>
      <c r="R148" s="113"/>
      <c r="S148" s="1"/>
      <c r="T148" s="1"/>
      <c r="U148" s="1"/>
      <c r="AA148" s="1"/>
    </row>
    <row r="149" spans="1:27" ht="15.6">
      <c r="A149" s="66">
        <v>2</v>
      </c>
      <c r="B149" s="226" t="s">
        <v>803</v>
      </c>
      <c r="C149" s="39"/>
      <c r="D149" s="73"/>
      <c r="E149" s="120"/>
      <c r="F149" s="187">
        <v>1950</v>
      </c>
      <c r="G149" s="67"/>
      <c r="H149" s="225">
        <f t="shared" ref="H149:H156" si="26">+F149*2</f>
        <v>3900</v>
      </c>
      <c r="I149" s="227">
        <v>3900</v>
      </c>
      <c r="J149" s="134">
        <f t="shared" si="25"/>
        <v>0</v>
      </c>
      <c r="K149" s="4"/>
      <c r="L149" s="221"/>
      <c r="M149" s="113"/>
      <c r="N149" s="113"/>
      <c r="O149" s="113"/>
      <c r="P149" s="113"/>
      <c r="Q149" s="113"/>
      <c r="R149" s="113"/>
      <c r="S149" s="1"/>
      <c r="T149" s="1"/>
      <c r="U149" s="1"/>
      <c r="AA149" s="1"/>
    </row>
    <row r="150" spans="1:27" ht="15.6" customHeight="1">
      <c r="A150" s="66">
        <v>4</v>
      </c>
      <c r="B150" s="39" t="s">
        <v>366</v>
      </c>
      <c r="C150" s="39" t="s">
        <v>367</v>
      </c>
      <c r="D150" s="73" t="s">
        <v>395</v>
      </c>
      <c r="E150" s="120"/>
      <c r="F150" s="189">
        <v>1950</v>
      </c>
      <c r="G150" s="67"/>
      <c r="H150" s="225">
        <f t="shared" si="26"/>
        <v>3900</v>
      </c>
      <c r="I150" s="227">
        <v>3900</v>
      </c>
      <c r="J150" s="134">
        <f t="shared" si="25"/>
        <v>0</v>
      </c>
      <c r="K150" s="4"/>
      <c r="M150" s="113"/>
      <c r="N150" s="113"/>
      <c r="O150" s="113"/>
      <c r="P150" s="113"/>
      <c r="Q150" s="113"/>
      <c r="R150" s="113"/>
      <c r="S150" s="1"/>
      <c r="T150" s="1"/>
      <c r="U150" s="1"/>
      <c r="AA150" s="1"/>
    </row>
    <row r="151" spans="1:27" ht="15.6">
      <c r="A151" s="66">
        <v>6</v>
      </c>
      <c r="B151" s="226" t="s">
        <v>786</v>
      </c>
      <c r="C151" s="226" t="s">
        <v>787</v>
      </c>
      <c r="D151" s="132" t="s">
        <v>788</v>
      </c>
      <c r="E151" s="120"/>
      <c r="F151" s="187">
        <v>1950</v>
      </c>
      <c r="G151" s="67"/>
      <c r="H151" s="225">
        <f t="shared" si="26"/>
        <v>3900</v>
      </c>
      <c r="I151" s="227">
        <v>3900</v>
      </c>
      <c r="J151" s="134">
        <f t="shared" si="25"/>
        <v>0</v>
      </c>
      <c r="K151" s="4"/>
      <c r="L151" s="39"/>
      <c r="M151" s="113"/>
      <c r="N151" s="113"/>
      <c r="O151" s="113"/>
      <c r="P151" s="113"/>
      <c r="Q151" s="113"/>
      <c r="R151" s="113"/>
      <c r="S151" s="1"/>
      <c r="T151" s="1"/>
      <c r="U151" s="1"/>
      <c r="AA151" s="1"/>
    </row>
    <row r="152" spans="1:27" ht="17.399999999999999" customHeight="1">
      <c r="A152" s="66">
        <v>7</v>
      </c>
      <c r="B152" s="39" t="s">
        <v>133</v>
      </c>
      <c r="C152" s="117" t="s">
        <v>548</v>
      </c>
      <c r="D152" s="81" t="s">
        <v>549</v>
      </c>
      <c r="E152" s="151" t="str">
        <f>+D152</f>
        <v>03343851034</v>
      </c>
      <c r="F152" s="187">
        <v>1950</v>
      </c>
      <c r="G152" s="109"/>
      <c r="H152" s="225">
        <f t="shared" si="26"/>
        <v>3900</v>
      </c>
      <c r="I152" s="227">
        <v>3900</v>
      </c>
      <c r="J152" s="347">
        <f t="shared" ref="J152" si="27">+H152-I152</f>
        <v>0</v>
      </c>
      <c r="K152" s="4"/>
      <c r="M152" s="113"/>
      <c r="N152" s="113"/>
      <c r="O152" s="113"/>
      <c r="P152" s="113"/>
      <c r="Q152" s="113"/>
      <c r="R152" s="113"/>
      <c r="S152" s="1"/>
      <c r="T152" s="1"/>
      <c r="U152" s="1"/>
      <c r="AA152" s="1"/>
    </row>
    <row r="153" spans="1:27" ht="17.399999999999999" customHeight="1">
      <c r="A153" s="66">
        <v>8</v>
      </c>
      <c r="B153" s="39" t="s">
        <v>625</v>
      </c>
      <c r="C153" s="39"/>
      <c r="D153" s="73" t="s">
        <v>626</v>
      </c>
      <c r="E153" s="120" t="s">
        <v>627</v>
      </c>
      <c r="F153" s="346">
        <v>1000</v>
      </c>
      <c r="G153" s="67"/>
      <c r="H153" s="225">
        <f t="shared" si="26"/>
        <v>2000</v>
      </c>
      <c r="I153" s="227">
        <v>2000</v>
      </c>
      <c r="J153" s="123">
        <f>+H153-I153</f>
        <v>0</v>
      </c>
      <c r="K153" s="4">
        <v>1615</v>
      </c>
      <c r="L153" s="222"/>
      <c r="M153" s="113"/>
      <c r="N153" s="113"/>
      <c r="O153" s="113"/>
      <c r="P153" s="113"/>
      <c r="Q153" s="113"/>
      <c r="R153" s="113"/>
      <c r="S153" s="1"/>
      <c r="T153" s="1"/>
      <c r="U153" s="1"/>
      <c r="AA153" s="1"/>
    </row>
    <row r="154" spans="1:27" ht="17.399999999999999" customHeight="1">
      <c r="A154" s="66">
        <v>9</v>
      </c>
      <c r="B154" s="226" t="s">
        <v>119</v>
      </c>
      <c r="C154" s="226" t="s">
        <v>785</v>
      </c>
      <c r="D154" s="132" t="s">
        <v>774</v>
      </c>
      <c r="E154" s="120"/>
      <c r="F154" s="316">
        <v>1950</v>
      </c>
      <c r="G154" s="67"/>
      <c r="H154" s="225">
        <f t="shared" si="26"/>
        <v>3900</v>
      </c>
      <c r="I154" s="227">
        <v>3900</v>
      </c>
      <c r="J154" s="123">
        <f>+H154-I154</f>
        <v>0</v>
      </c>
      <c r="K154" s="4"/>
      <c r="L154" s="39"/>
      <c r="M154" s="113"/>
      <c r="N154" s="113"/>
      <c r="O154" s="113"/>
      <c r="P154" s="113"/>
      <c r="Q154" s="113"/>
      <c r="R154" s="113"/>
      <c r="S154" s="1"/>
      <c r="T154" s="1"/>
      <c r="U154" s="1"/>
      <c r="AA154" s="1"/>
    </row>
    <row r="155" spans="1:27" ht="17.399999999999999" customHeight="1">
      <c r="A155" s="66">
        <v>10</v>
      </c>
      <c r="B155" s="39" t="s">
        <v>939</v>
      </c>
      <c r="C155" s="17"/>
      <c r="D155" s="81"/>
      <c r="E155" s="151"/>
      <c r="F155" s="316">
        <v>1950</v>
      </c>
      <c r="G155" s="109"/>
      <c r="H155" s="225">
        <f t="shared" si="26"/>
        <v>3900</v>
      </c>
      <c r="I155" s="227">
        <v>3900</v>
      </c>
      <c r="J155" s="123">
        <f>+H155-I155</f>
        <v>0</v>
      </c>
      <c r="K155" s="4"/>
      <c r="L155" s="39"/>
      <c r="M155" s="113"/>
      <c r="N155" s="113"/>
      <c r="O155" s="113"/>
      <c r="P155" s="113"/>
      <c r="Q155" s="113"/>
      <c r="R155" s="113"/>
      <c r="S155" s="1"/>
      <c r="T155" s="1"/>
      <c r="U155" s="1"/>
      <c r="AA155" s="1"/>
    </row>
    <row r="156" spans="1:27" ht="17.399999999999999" customHeight="1">
      <c r="A156" s="33">
        <v>11</v>
      </c>
      <c r="B156" s="39" t="s">
        <v>940</v>
      </c>
      <c r="C156" s="39"/>
      <c r="D156" s="73"/>
      <c r="E156" s="73"/>
      <c r="F156" s="316">
        <v>1950</v>
      </c>
      <c r="G156" s="67"/>
      <c r="H156" s="225">
        <f t="shared" si="26"/>
        <v>3900</v>
      </c>
      <c r="I156" s="227">
        <v>3900</v>
      </c>
      <c r="J156" s="123">
        <f>+H156-I156</f>
        <v>0</v>
      </c>
      <c r="K156" s="4"/>
      <c r="L156" s="222"/>
      <c r="M156" s="113"/>
      <c r="N156" s="113"/>
      <c r="O156" s="113"/>
      <c r="P156" s="113"/>
      <c r="Q156" s="113"/>
      <c r="R156" s="113"/>
      <c r="S156" s="1"/>
      <c r="T156" s="1"/>
      <c r="U156" s="1"/>
      <c r="AA156" s="1"/>
    </row>
    <row r="157" spans="1:27" ht="17.399999999999999" customHeight="1">
      <c r="A157" s="494" t="s">
        <v>3</v>
      </c>
      <c r="B157" s="496"/>
      <c r="C157" s="496"/>
      <c r="D157" s="496"/>
      <c r="E157" s="495"/>
      <c r="F157" s="10">
        <f>SUM(F148:F156)</f>
        <v>16600</v>
      </c>
      <c r="G157" s="20"/>
      <c r="H157" s="10">
        <f>SUM(H148:H156)</f>
        <v>33200</v>
      </c>
      <c r="I157" s="10">
        <f>SUM(I148:I156)</f>
        <v>33200</v>
      </c>
      <c r="J157" s="10">
        <f>SUM(J148:J156)</f>
        <v>0</v>
      </c>
      <c r="K157" s="13"/>
      <c r="L157" s="223"/>
      <c r="M157" s="113"/>
      <c r="N157" s="113"/>
      <c r="O157" s="113"/>
      <c r="P157" s="113"/>
      <c r="Q157" s="113"/>
      <c r="R157" s="113"/>
      <c r="S157" s="1"/>
      <c r="T157" s="1"/>
      <c r="U157" s="1"/>
      <c r="AA157" s="1"/>
    </row>
    <row r="158" spans="1:27" ht="17.399999999999999" customHeight="1">
      <c r="A158" s="488" t="s">
        <v>657</v>
      </c>
      <c r="B158" s="489"/>
      <c r="C158" s="489"/>
      <c r="D158" s="489"/>
      <c r="E158" s="489"/>
      <c r="F158" s="489"/>
      <c r="G158" s="489"/>
      <c r="H158" s="489"/>
      <c r="I158" s="489"/>
      <c r="J158" s="489"/>
      <c r="K158" s="490"/>
      <c r="L158" s="224"/>
      <c r="M158" s="113"/>
      <c r="N158" s="113"/>
      <c r="O158" s="113"/>
      <c r="P158" s="113"/>
      <c r="Q158" s="113"/>
      <c r="R158" s="113"/>
      <c r="S158" s="1"/>
      <c r="T158" s="1"/>
      <c r="U158" s="1"/>
      <c r="AA158" s="1"/>
    </row>
    <row r="159" spans="1:27" ht="17.399999999999999" customHeight="1">
      <c r="A159" s="106" t="s">
        <v>4</v>
      </c>
      <c r="B159" s="9" t="s">
        <v>6</v>
      </c>
      <c r="C159" s="9" t="s">
        <v>7</v>
      </c>
      <c r="D159" s="106" t="s">
        <v>0</v>
      </c>
      <c r="E159" s="106"/>
      <c r="F159" s="96" t="s">
        <v>5</v>
      </c>
      <c r="G159" s="108"/>
      <c r="H159" s="96" t="s">
        <v>190</v>
      </c>
      <c r="I159" s="115" t="s">
        <v>820</v>
      </c>
      <c r="J159" s="96" t="s">
        <v>58</v>
      </c>
      <c r="K159" s="97" t="s">
        <v>145</v>
      </c>
      <c r="M159" s="113"/>
      <c r="N159" s="113"/>
      <c r="O159" s="113"/>
      <c r="P159" s="113"/>
      <c r="Q159" s="113"/>
      <c r="R159" s="113"/>
      <c r="S159" s="1"/>
      <c r="T159" s="1"/>
      <c r="U159" s="1"/>
      <c r="AA159" s="1"/>
    </row>
    <row r="160" spans="1:27" ht="15.6">
      <c r="A160" s="33">
        <v>1</v>
      </c>
      <c r="B160" s="5" t="s">
        <v>561</v>
      </c>
      <c r="C160" s="5" t="s">
        <v>562</v>
      </c>
      <c r="D160" s="37" t="s">
        <v>563</v>
      </c>
      <c r="E160" s="35"/>
      <c r="F160" s="187">
        <v>1000</v>
      </c>
      <c r="G160" s="20"/>
      <c r="H160" s="225">
        <f>+F160*2</f>
        <v>2000</v>
      </c>
      <c r="I160" s="28">
        <v>2000</v>
      </c>
      <c r="J160" s="134">
        <f t="shared" ref="J160:J171" si="28">+H160-I160</f>
        <v>0</v>
      </c>
      <c r="K160" s="4"/>
      <c r="L160" s="5"/>
      <c r="M160" s="113"/>
      <c r="N160" s="113"/>
      <c r="O160" s="113"/>
      <c r="P160" s="113"/>
      <c r="Q160" s="113"/>
      <c r="R160" s="113"/>
      <c r="S160" s="1"/>
      <c r="T160" s="1"/>
      <c r="U160" s="1"/>
      <c r="AA160" s="1"/>
    </row>
    <row r="161" spans="1:27" ht="21.6" customHeight="1">
      <c r="A161" s="33">
        <v>2</v>
      </c>
      <c r="B161" s="5" t="s">
        <v>691</v>
      </c>
      <c r="C161" s="5" t="s">
        <v>690</v>
      </c>
      <c r="D161" s="81"/>
      <c r="E161" s="81"/>
      <c r="F161" s="187">
        <v>1950</v>
      </c>
      <c r="G161" s="20"/>
      <c r="H161" s="225">
        <f t="shared" ref="H161:H171" si="29">+F161*2</f>
        <v>3900</v>
      </c>
      <c r="I161" s="28">
        <v>3900</v>
      </c>
      <c r="J161" s="134">
        <f t="shared" si="28"/>
        <v>0</v>
      </c>
      <c r="K161" s="4"/>
      <c r="L161" s="5"/>
      <c r="M161" s="113"/>
      <c r="N161" s="113"/>
      <c r="O161" s="113"/>
      <c r="P161" s="113"/>
      <c r="Q161" s="113"/>
      <c r="R161" s="113"/>
      <c r="S161" s="1"/>
      <c r="T161" s="1"/>
      <c r="U161" s="1"/>
      <c r="AA161" s="1"/>
    </row>
    <row r="162" spans="1:27" ht="21.6" customHeight="1">
      <c r="A162" s="33">
        <v>3</v>
      </c>
      <c r="B162" s="5" t="s">
        <v>522</v>
      </c>
      <c r="C162" s="5" t="s">
        <v>523</v>
      </c>
      <c r="D162" s="37" t="s">
        <v>524</v>
      </c>
      <c r="E162" s="38" t="str">
        <f>+D162</f>
        <v>03335468526</v>
      </c>
      <c r="F162" s="187">
        <v>1950</v>
      </c>
      <c r="G162" s="20"/>
      <c r="H162" s="225">
        <f t="shared" si="29"/>
        <v>3900</v>
      </c>
      <c r="I162" s="28">
        <v>3900</v>
      </c>
      <c r="J162" s="134">
        <f t="shared" si="28"/>
        <v>0</v>
      </c>
      <c r="K162" s="4"/>
      <c r="L162" s="5"/>
      <c r="M162" s="113"/>
      <c r="N162" s="113"/>
      <c r="O162" s="113"/>
      <c r="P162" s="113"/>
      <c r="Q162" s="113"/>
      <c r="R162" s="113"/>
      <c r="S162" s="1"/>
      <c r="T162" s="1"/>
      <c r="U162" s="1"/>
      <c r="AA162" s="1"/>
    </row>
    <row r="163" spans="1:27" ht="15" customHeight="1">
      <c r="A163" s="33">
        <v>4</v>
      </c>
      <c r="B163" s="5" t="s">
        <v>498</v>
      </c>
      <c r="C163" s="5" t="s">
        <v>499</v>
      </c>
      <c r="D163" s="35" t="s">
        <v>500</v>
      </c>
      <c r="E163" s="35" t="str">
        <f>+D163</f>
        <v>03343781569</v>
      </c>
      <c r="F163" s="187">
        <v>1950</v>
      </c>
      <c r="G163" s="20"/>
      <c r="H163" s="225">
        <f t="shared" si="29"/>
        <v>3900</v>
      </c>
      <c r="I163" s="28">
        <v>3900</v>
      </c>
      <c r="J163" s="134">
        <f t="shared" si="28"/>
        <v>0</v>
      </c>
      <c r="K163" s="4"/>
      <c r="L163" s="5"/>
      <c r="M163" s="113"/>
      <c r="N163" s="113"/>
      <c r="O163" s="113"/>
      <c r="P163" s="113"/>
      <c r="Q163" s="113"/>
      <c r="R163" s="113"/>
      <c r="S163" s="1"/>
      <c r="T163" s="1"/>
      <c r="U163" s="1"/>
      <c r="AA163" s="1"/>
    </row>
    <row r="164" spans="1:27" ht="15.6">
      <c r="A164" s="33">
        <v>5</v>
      </c>
      <c r="B164" s="5" t="s">
        <v>537</v>
      </c>
      <c r="C164" s="5" t="s">
        <v>538</v>
      </c>
      <c r="D164" s="37" t="s">
        <v>539</v>
      </c>
      <c r="E164" s="35" t="str">
        <f>+D164</f>
        <v>03349543397</v>
      </c>
      <c r="F164" s="187">
        <v>1950</v>
      </c>
      <c r="G164" s="20"/>
      <c r="H164" s="225">
        <f t="shared" si="29"/>
        <v>3900</v>
      </c>
      <c r="I164" s="28">
        <v>3900</v>
      </c>
      <c r="J164" s="134">
        <f t="shared" si="28"/>
        <v>0</v>
      </c>
      <c r="K164" s="4"/>
      <c r="L164" s="5"/>
      <c r="M164" s="113"/>
      <c r="N164" s="113"/>
      <c r="O164" s="113"/>
      <c r="P164" s="113"/>
      <c r="Q164" s="113"/>
      <c r="R164" s="113"/>
      <c r="S164" s="1"/>
      <c r="T164" s="1"/>
      <c r="U164" s="1"/>
      <c r="AA164" s="1"/>
    </row>
    <row r="165" spans="1:27" ht="15.6">
      <c r="A165" s="33">
        <v>6</v>
      </c>
      <c r="B165" s="5" t="s">
        <v>558</v>
      </c>
      <c r="C165" s="5" t="s">
        <v>559</v>
      </c>
      <c r="D165" s="37" t="s">
        <v>560</v>
      </c>
      <c r="E165" s="35"/>
      <c r="F165" s="187">
        <v>1950</v>
      </c>
      <c r="G165" s="20"/>
      <c r="H165" s="225">
        <f t="shared" si="29"/>
        <v>3900</v>
      </c>
      <c r="I165" s="28">
        <v>3900</v>
      </c>
      <c r="J165" s="134">
        <f t="shared" si="28"/>
        <v>0</v>
      </c>
      <c r="K165" s="4"/>
      <c r="L165" s="5"/>
      <c r="M165" s="113"/>
      <c r="N165" s="113"/>
      <c r="O165" s="113"/>
      <c r="P165" s="113"/>
      <c r="Q165" s="113"/>
      <c r="R165" s="113"/>
      <c r="S165" s="1"/>
      <c r="T165" s="1"/>
      <c r="U165" s="1"/>
      <c r="AA165" s="1"/>
    </row>
    <row r="166" spans="1:27" ht="29.4" customHeight="1">
      <c r="A166" s="33">
        <v>7</v>
      </c>
      <c r="B166" s="5" t="s">
        <v>534</v>
      </c>
      <c r="C166" s="5" t="s">
        <v>535</v>
      </c>
      <c r="D166" s="37" t="s">
        <v>536</v>
      </c>
      <c r="E166" s="35" t="str">
        <f>+D166</f>
        <v>03059858954</v>
      </c>
      <c r="F166" s="187">
        <v>1950</v>
      </c>
      <c r="G166" s="20"/>
      <c r="H166" s="225">
        <f t="shared" si="29"/>
        <v>3900</v>
      </c>
      <c r="I166" s="28">
        <v>3900</v>
      </c>
      <c r="J166" s="134">
        <f t="shared" si="28"/>
        <v>0</v>
      </c>
      <c r="K166" s="4"/>
      <c r="L166" s="5"/>
      <c r="M166" s="113"/>
      <c r="N166" s="113"/>
      <c r="O166" s="113"/>
      <c r="P166" s="113"/>
      <c r="Q166" s="113"/>
      <c r="R166" s="113"/>
      <c r="S166" s="1"/>
      <c r="T166" s="1"/>
      <c r="U166" s="1"/>
      <c r="AA166" s="1"/>
    </row>
    <row r="167" spans="1:27" ht="35.4" customHeight="1">
      <c r="A167" s="33">
        <v>8</v>
      </c>
      <c r="B167" s="5" t="s">
        <v>586</v>
      </c>
      <c r="C167" s="5" t="s">
        <v>42</v>
      </c>
      <c r="D167" s="37" t="s">
        <v>515</v>
      </c>
      <c r="E167" s="38" t="str">
        <f>+D167</f>
        <v>03360497861</v>
      </c>
      <c r="F167" s="187">
        <v>1950</v>
      </c>
      <c r="G167" s="20"/>
      <c r="H167" s="225">
        <f t="shared" si="29"/>
        <v>3900</v>
      </c>
      <c r="I167" s="28">
        <v>3900</v>
      </c>
      <c r="J167" s="134">
        <f t="shared" si="28"/>
        <v>0</v>
      </c>
      <c r="K167" s="4"/>
      <c r="L167" s="5"/>
      <c r="M167" s="113"/>
      <c r="N167" s="113"/>
      <c r="O167" s="113"/>
      <c r="P167" s="113"/>
      <c r="Q167" s="113"/>
      <c r="R167" s="113"/>
      <c r="S167" s="1"/>
      <c r="T167" s="1"/>
      <c r="U167" s="1"/>
      <c r="AA167" s="1"/>
    </row>
    <row r="168" spans="1:27" ht="37.200000000000003" customHeight="1">
      <c r="A168" s="33">
        <v>9</v>
      </c>
      <c r="B168" s="5" t="s">
        <v>789</v>
      </c>
      <c r="C168" s="5" t="s">
        <v>790</v>
      </c>
      <c r="D168" s="81" t="s">
        <v>791</v>
      </c>
      <c r="E168" s="81"/>
      <c r="F168" s="187">
        <v>1950</v>
      </c>
      <c r="G168" s="20"/>
      <c r="H168" s="225">
        <f t="shared" si="29"/>
        <v>3900</v>
      </c>
      <c r="I168" s="28">
        <v>3900</v>
      </c>
      <c r="J168" s="134">
        <f t="shared" si="28"/>
        <v>0</v>
      </c>
      <c r="K168" s="4"/>
      <c r="L168" s="5"/>
      <c r="M168" s="113"/>
      <c r="N168" s="113"/>
      <c r="O168" s="113"/>
      <c r="P168" s="113"/>
      <c r="Q168" s="113"/>
      <c r="R168" s="113"/>
      <c r="S168" s="1"/>
      <c r="T168" s="1"/>
      <c r="U168" s="1"/>
      <c r="AA168" s="1"/>
    </row>
    <row r="169" spans="1:27" ht="32.4" customHeight="1">
      <c r="A169" s="33">
        <v>10</v>
      </c>
      <c r="B169" s="5" t="s">
        <v>544</v>
      </c>
      <c r="C169" s="5" t="s">
        <v>545</v>
      </c>
      <c r="D169" s="37" t="s">
        <v>546</v>
      </c>
      <c r="E169" s="35" t="s">
        <v>547</v>
      </c>
      <c r="F169" s="187">
        <v>1950</v>
      </c>
      <c r="G169" s="20"/>
      <c r="H169" s="225">
        <f t="shared" si="29"/>
        <v>3900</v>
      </c>
      <c r="I169" s="28">
        <v>3900</v>
      </c>
      <c r="J169" s="134">
        <f t="shared" si="28"/>
        <v>0</v>
      </c>
      <c r="K169" s="4"/>
      <c r="L169" s="5"/>
      <c r="M169" s="113"/>
      <c r="N169" s="113"/>
      <c r="O169" s="113"/>
      <c r="P169" s="113"/>
      <c r="Q169" s="113"/>
      <c r="R169" s="113"/>
      <c r="S169" s="1"/>
      <c r="T169" s="1"/>
      <c r="U169" s="1"/>
      <c r="AA169" s="1"/>
    </row>
    <row r="170" spans="1:27" ht="32.4" customHeight="1">
      <c r="A170" s="33">
        <v>11</v>
      </c>
      <c r="B170" s="5" t="s">
        <v>816</v>
      </c>
      <c r="C170" s="5" t="s">
        <v>817</v>
      </c>
      <c r="D170" s="81"/>
      <c r="E170" s="81"/>
      <c r="F170" s="187">
        <v>1950</v>
      </c>
      <c r="G170" s="20"/>
      <c r="H170" s="225">
        <f t="shared" si="29"/>
        <v>3900</v>
      </c>
      <c r="I170" s="28">
        <v>3900</v>
      </c>
      <c r="J170" s="134">
        <f t="shared" si="28"/>
        <v>0</v>
      </c>
      <c r="K170" s="4"/>
      <c r="L170" s="5"/>
      <c r="M170" s="113"/>
      <c r="N170" s="113"/>
      <c r="O170" s="113"/>
      <c r="P170" s="113"/>
      <c r="Q170" s="113"/>
      <c r="R170" s="113"/>
      <c r="S170" s="1"/>
      <c r="T170" s="1"/>
      <c r="U170" s="1"/>
      <c r="AA170" s="1"/>
    </row>
    <row r="171" spans="1:27" ht="31.95" customHeight="1">
      <c r="A171" s="33">
        <v>12</v>
      </c>
      <c r="B171" s="5" t="s">
        <v>174</v>
      </c>
      <c r="C171" s="5" t="s">
        <v>574</v>
      </c>
      <c r="D171" s="81"/>
      <c r="E171" s="81"/>
      <c r="F171" s="189">
        <v>1000</v>
      </c>
      <c r="G171" s="20"/>
      <c r="H171" s="225">
        <f t="shared" si="29"/>
        <v>2000</v>
      </c>
      <c r="I171" s="352">
        <v>2000</v>
      </c>
      <c r="J171" s="134">
        <f t="shared" si="28"/>
        <v>0</v>
      </c>
      <c r="K171" s="4"/>
      <c r="L171" s="174"/>
      <c r="M171" s="113"/>
      <c r="N171" s="113"/>
      <c r="O171" s="113"/>
      <c r="P171" s="113"/>
      <c r="Q171" s="113"/>
      <c r="R171" s="113"/>
      <c r="S171" s="1"/>
      <c r="T171" s="1"/>
      <c r="U171" s="1"/>
      <c r="AA171" s="1"/>
    </row>
    <row r="172" spans="1:27" ht="33.6" customHeight="1">
      <c r="A172" s="494" t="s">
        <v>3</v>
      </c>
      <c r="B172" s="496"/>
      <c r="C172" s="496"/>
      <c r="D172" s="496"/>
      <c r="E172" s="495"/>
      <c r="F172" s="10">
        <f>SUM(F160:F171)</f>
        <v>21500</v>
      </c>
      <c r="G172" s="20"/>
      <c r="H172" s="10">
        <f>SUM(H160:H171)</f>
        <v>43000</v>
      </c>
      <c r="I172" s="10">
        <f t="shared" ref="I172:J172" si="30">SUM(I160:I171)</f>
        <v>43000</v>
      </c>
      <c r="J172" s="10">
        <f t="shared" si="30"/>
        <v>0</v>
      </c>
      <c r="K172" s="4"/>
      <c r="L172" s="44"/>
      <c r="M172" s="113"/>
      <c r="N172" s="113"/>
      <c r="O172" s="113"/>
      <c r="P172" s="113"/>
      <c r="Q172" s="113"/>
      <c r="R172" s="113"/>
      <c r="S172" s="1"/>
      <c r="T172" s="1"/>
      <c r="U172" s="1"/>
      <c r="AA172" s="1"/>
    </row>
    <row r="173" spans="1:27" ht="34.950000000000003" customHeight="1">
      <c r="A173" s="8"/>
      <c r="B173" s="8"/>
      <c r="C173" s="8"/>
      <c r="D173" s="8"/>
      <c r="E173" s="8"/>
      <c r="F173" s="8"/>
      <c r="G173" s="20"/>
      <c r="H173" s="8"/>
      <c r="I173" s="8"/>
      <c r="J173" s="8"/>
      <c r="K173" s="8"/>
      <c r="L173" s="44"/>
      <c r="M173" s="113"/>
      <c r="N173" s="113"/>
      <c r="O173" s="113"/>
      <c r="P173" s="113"/>
      <c r="Q173" s="113"/>
      <c r="R173" s="113"/>
      <c r="S173" s="1"/>
      <c r="T173" s="1"/>
      <c r="U173" s="1"/>
      <c r="AA173" s="1"/>
    </row>
    <row r="174" spans="1:27" ht="17.399999999999999" customHeight="1">
      <c r="A174" s="20"/>
      <c r="B174" s="20" t="s">
        <v>410</v>
      </c>
      <c r="C174" s="20"/>
      <c r="D174" s="20"/>
      <c r="E174" s="20"/>
      <c r="F174" s="20"/>
      <c r="G174" s="20"/>
      <c r="H174" s="20"/>
      <c r="I174" s="20"/>
      <c r="J174" s="20"/>
      <c r="L174" s="44"/>
      <c r="M174" s="113"/>
      <c r="N174" s="113"/>
      <c r="O174" s="113"/>
      <c r="P174" s="113"/>
      <c r="Q174" s="113"/>
      <c r="R174" s="113"/>
      <c r="S174" s="1"/>
      <c r="T174" s="1"/>
      <c r="U174" s="1"/>
      <c r="AA174" s="1"/>
    </row>
    <row r="175" spans="1:27" ht="34.950000000000003" customHeight="1">
      <c r="A175" s="20"/>
      <c r="B175" s="5" t="s">
        <v>411</v>
      </c>
      <c r="C175" s="13"/>
      <c r="D175" s="20"/>
      <c r="E175" s="20"/>
      <c r="F175" s="20"/>
      <c r="G175" s="20"/>
      <c r="H175" s="20"/>
      <c r="I175" s="20"/>
      <c r="J175" s="20"/>
      <c r="L175" s="44"/>
      <c r="M175" s="113"/>
      <c r="N175" s="113"/>
      <c r="O175" s="113"/>
      <c r="P175" s="113"/>
      <c r="Q175" s="113"/>
      <c r="R175" s="113"/>
      <c r="S175" s="1"/>
      <c r="T175" s="1"/>
      <c r="U175" s="1"/>
      <c r="AA175" s="1"/>
    </row>
    <row r="176" spans="1:27" ht="28.95" customHeight="1">
      <c r="A176" s="20"/>
      <c r="B176" s="5" t="s">
        <v>412</v>
      </c>
      <c r="C176" s="13"/>
      <c r="D176" s="20"/>
      <c r="E176" s="20"/>
      <c r="F176" s="20"/>
      <c r="G176" s="20"/>
      <c r="H176" s="20"/>
      <c r="I176" s="20"/>
      <c r="J176" s="20"/>
      <c r="L176" s="44"/>
      <c r="M176" s="113"/>
      <c r="N176" s="113"/>
      <c r="O176" s="113"/>
      <c r="P176" s="113"/>
      <c r="Q176" s="113"/>
      <c r="R176" s="113"/>
      <c r="S176" s="1"/>
      <c r="T176" s="1"/>
      <c r="U176" s="1"/>
      <c r="AA176" s="1"/>
    </row>
    <row r="177" spans="1:27" ht="43.2" customHeight="1">
      <c r="A177" s="20"/>
      <c r="B177" s="5" t="s">
        <v>413</v>
      </c>
      <c r="C177" s="13"/>
      <c r="D177" s="20"/>
      <c r="E177" s="20"/>
      <c r="F177" s="20"/>
      <c r="G177" s="20"/>
      <c r="H177" s="20"/>
      <c r="I177" s="20"/>
      <c r="J177" s="20"/>
      <c r="L177" s="44"/>
      <c r="M177" s="113"/>
      <c r="N177" s="113"/>
      <c r="O177" s="113"/>
      <c r="P177" s="113"/>
      <c r="Q177" s="113"/>
      <c r="R177" s="113"/>
      <c r="S177" s="1"/>
      <c r="T177" s="1"/>
      <c r="U177" s="1"/>
      <c r="AA177" s="1"/>
    </row>
    <row r="178" spans="1:27" ht="41.4" customHeight="1">
      <c r="A178" s="20"/>
      <c r="B178" s="5" t="s">
        <v>414</v>
      </c>
      <c r="C178" s="5"/>
      <c r="D178" s="20"/>
      <c r="E178" s="20"/>
      <c r="F178" s="20"/>
      <c r="G178" s="20"/>
      <c r="H178" s="20"/>
      <c r="I178" s="20"/>
      <c r="J178" s="20"/>
      <c r="L178" s="44"/>
      <c r="M178" s="113"/>
      <c r="N178" s="113"/>
      <c r="O178" s="113"/>
      <c r="P178" s="113"/>
      <c r="Q178" s="113"/>
      <c r="R178" s="113"/>
      <c r="S178" s="1"/>
      <c r="T178" s="1"/>
      <c r="U178" s="1"/>
      <c r="AA178" s="1"/>
    </row>
    <row r="179" spans="1:27" ht="46.95" customHeight="1">
      <c r="A179" s="20"/>
      <c r="B179" s="5" t="s">
        <v>458</v>
      </c>
      <c r="C179" s="5"/>
      <c r="D179" s="20"/>
      <c r="E179" s="20"/>
      <c r="F179" s="20"/>
      <c r="G179" s="20"/>
      <c r="H179" s="20"/>
      <c r="I179" s="20"/>
      <c r="J179" s="20"/>
      <c r="L179" s="44"/>
      <c r="M179" s="113"/>
      <c r="N179" s="113"/>
      <c r="O179" s="113"/>
      <c r="P179" s="113"/>
      <c r="Q179" s="113"/>
      <c r="R179" s="113"/>
      <c r="S179" s="1"/>
      <c r="T179" s="1"/>
      <c r="U179" s="1"/>
      <c r="AA179" s="1"/>
    </row>
    <row r="180" spans="1:27" ht="45.6" customHeight="1">
      <c r="A180" s="20"/>
      <c r="B180" s="5" t="s">
        <v>242</v>
      </c>
      <c r="C180" s="5"/>
      <c r="D180" s="20"/>
      <c r="E180" s="20"/>
      <c r="F180" s="20"/>
      <c r="G180" s="20"/>
      <c r="H180" s="20"/>
      <c r="I180" s="20"/>
      <c r="J180" s="20"/>
      <c r="L180" s="44"/>
      <c r="M180" s="113"/>
      <c r="N180" s="113"/>
      <c r="O180" s="113"/>
      <c r="P180" s="113"/>
      <c r="Q180" s="113"/>
      <c r="R180" s="113"/>
      <c r="S180" s="1"/>
      <c r="T180" s="1"/>
      <c r="U180" s="1"/>
      <c r="AA180" s="1"/>
    </row>
    <row r="181" spans="1:27" ht="33" customHeight="1">
      <c r="A181" s="20"/>
      <c r="B181" s="5" t="s">
        <v>425</v>
      </c>
      <c r="C181" s="3"/>
      <c r="D181" s="20"/>
      <c r="E181" s="20"/>
      <c r="F181" s="20"/>
      <c r="G181" s="20"/>
      <c r="H181" s="20"/>
      <c r="I181" s="20"/>
      <c r="J181" s="20"/>
      <c r="M181" s="113"/>
      <c r="N181" s="113"/>
      <c r="O181" s="113"/>
      <c r="P181" s="113"/>
      <c r="Q181" s="113"/>
      <c r="R181" s="113"/>
      <c r="S181" s="1"/>
      <c r="T181" s="1"/>
      <c r="U181" s="1"/>
      <c r="AA181" s="1"/>
    </row>
    <row r="182" spans="1:27" ht="24" customHeight="1">
      <c r="A182" s="20"/>
      <c r="B182" s="5" t="s">
        <v>426</v>
      </c>
      <c r="C182" s="3"/>
      <c r="D182" s="20"/>
      <c r="E182" s="20"/>
      <c r="F182" s="20"/>
      <c r="G182" s="20"/>
      <c r="H182" s="20"/>
      <c r="I182" s="20"/>
      <c r="J182" s="20"/>
      <c r="M182" s="113"/>
      <c r="N182" s="113"/>
      <c r="O182" s="113"/>
      <c r="P182" s="113"/>
      <c r="Q182" s="113"/>
      <c r="R182" s="113"/>
      <c r="S182" s="1"/>
      <c r="T182" s="1"/>
      <c r="U182" s="1"/>
      <c r="AA182" s="1"/>
    </row>
    <row r="183" spans="1:27" ht="15.75" customHeight="1">
      <c r="A183" s="20"/>
      <c r="B183" s="5" t="s">
        <v>833</v>
      </c>
      <c r="C183" s="5"/>
      <c r="D183" s="20"/>
      <c r="E183" s="20"/>
      <c r="F183" s="20"/>
      <c r="G183" s="20"/>
      <c r="H183" s="20"/>
      <c r="I183" s="20"/>
      <c r="J183" s="20"/>
      <c r="L183" s="1"/>
      <c r="M183" s="113"/>
      <c r="N183" s="113"/>
      <c r="O183" s="113"/>
      <c r="P183" s="113"/>
      <c r="Q183" s="113"/>
      <c r="R183" s="113"/>
      <c r="S183" s="1"/>
      <c r="T183" s="1"/>
      <c r="U183" s="1"/>
      <c r="AA183" s="1"/>
    </row>
    <row r="184" spans="1:27" ht="19.2" customHeight="1">
      <c r="A184" s="20"/>
      <c r="B184" s="9" t="s">
        <v>3</v>
      </c>
      <c r="C184" s="9">
        <f>SUM(C175:C183)</f>
        <v>0</v>
      </c>
      <c r="D184" s="20"/>
      <c r="E184" s="20"/>
      <c r="F184" s="20"/>
      <c r="G184" s="20"/>
      <c r="H184" s="20"/>
      <c r="I184" s="20"/>
      <c r="J184" s="20"/>
      <c r="L184" s="8"/>
      <c r="M184" s="113"/>
      <c r="N184" s="113"/>
      <c r="O184" s="113"/>
      <c r="P184" s="113"/>
      <c r="Q184" s="113"/>
      <c r="R184" s="113"/>
      <c r="S184" s="1"/>
      <c r="T184" s="1"/>
      <c r="U184" s="1"/>
      <c r="AA184" s="1"/>
    </row>
    <row r="185" spans="1:27" ht="19.2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L185" s="8"/>
      <c r="M185" s="113"/>
      <c r="N185" s="113"/>
      <c r="O185" s="113"/>
      <c r="P185" s="113"/>
      <c r="Q185" s="113"/>
      <c r="R185" s="113"/>
      <c r="S185" s="1"/>
      <c r="T185" s="1"/>
      <c r="U185" s="1"/>
      <c r="AA185" s="1"/>
    </row>
    <row r="186" spans="1:27" ht="19.2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M186" s="113"/>
      <c r="N186" s="113"/>
      <c r="O186" s="113"/>
      <c r="P186" s="113"/>
      <c r="Q186" s="113"/>
      <c r="R186" s="113"/>
      <c r="S186" s="1"/>
      <c r="T186" s="1"/>
      <c r="U186" s="1"/>
      <c r="AA186" s="1"/>
    </row>
    <row r="187" spans="1:27" ht="15.75" customHeight="1">
      <c r="A187" s="89"/>
      <c r="B187" s="20"/>
      <c r="C187" s="20"/>
      <c r="D187" s="20"/>
      <c r="E187" s="20"/>
      <c r="F187" s="20"/>
      <c r="G187" s="20"/>
      <c r="H187" s="20"/>
      <c r="I187" s="20"/>
      <c r="J187" s="20"/>
      <c r="M187" s="113"/>
      <c r="N187" s="113"/>
      <c r="O187" s="113"/>
      <c r="P187" s="113"/>
      <c r="Q187" s="113"/>
      <c r="R187" s="113"/>
      <c r="S187" s="1"/>
      <c r="T187" s="1"/>
      <c r="U187" s="1"/>
      <c r="AA187" s="1"/>
    </row>
    <row r="188" spans="1:27" ht="15.75" customHeight="1">
      <c r="A188" s="89"/>
      <c r="B188" s="20"/>
      <c r="C188" s="20"/>
      <c r="D188" s="20"/>
      <c r="E188" s="20"/>
      <c r="F188" s="20"/>
      <c r="G188" s="20"/>
      <c r="H188" s="20"/>
      <c r="I188" s="20"/>
      <c r="J188" s="89"/>
      <c r="K188" s="89"/>
      <c r="M188" s="113"/>
      <c r="N188" s="113"/>
      <c r="O188" s="113"/>
      <c r="P188" s="113"/>
      <c r="Q188" s="113"/>
      <c r="R188" s="113"/>
      <c r="S188" s="1"/>
      <c r="T188" s="1"/>
      <c r="U188" s="1"/>
      <c r="AA188" s="1"/>
    </row>
    <row r="189" spans="1:27" ht="15.75" customHeight="1">
      <c r="A189" s="89"/>
      <c r="B189" s="20"/>
      <c r="C189" s="20"/>
      <c r="D189" s="20"/>
      <c r="E189" s="20"/>
      <c r="F189" s="20"/>
      <c r="G189" s="20"/>
      <c r="H189" s="20"/>
      <c r="I189" s="20"/>
      <c r="J189" s="89"/>
      <c r="K189" s="89"/>
      <c r="M189" s="113"/>
      <c r="N189" s="113"/>
      <c r="O189" s="113"/>
      <c r="P189" s="113"/>
      <c r="Q189" s="113"/>
      <c r="R189" s="113"/>
      <c r="S189" s="1"/>
      <c r="T189" s="1"/>
      <c r="U189" s="1"/>
      <c r="AA189" s="1"/>
    </row>
    <row r="190" spans="1:27" ht="15.75" customHeight="1">
      <c r="A190" s="89"/>
      <c r="B190" s="20"/>
      <c r="C190" s="20"/>
      <c r="D190" s="20"/>
      <c r="E190" s="20"/>
      <c r="F190" s="20"/>
      <c r="G190" s="20"/>
      <c r="H190" s="20"/>
      <c r="I190" s="20"/>
      <c r="J190" s="89"/>
      <c r="K190" s="89"/>
      <c r="M190" s="113"/>
      <c r="N190" s="113"/>
      <c r="O190" s="113"/>
      <c r="P190" s="113"/>
      <c r="Q190" s="113"/>
      <c r="R190" s="113"/>
      <c r="S190" s="1"/>
      <c r="T190" s="1"/>
      <c r="U190" s="1"/>
      <c r="AA190" s="1"/>
    </row>
    <row r="191" spans="1:27" ht="15.75" customHeight="1">
      <c r="A191" s="89"/>
      <c r="B191" s="20"/>
      <c r="C191" s="20"/>
      <c r="D191" s="20"/>
      <c r="E191" s="20"/>
      <c r="F191" s="20"/>
      <c r="G191" s="20"/>
      <c r="H191" s="20"/>
      <c r="I191" s="20"/>
      <c r="J191" s="89"/>
      <c r="K191" s="89"/>
      <c r="M191" s="113"/>
      <c r="N191" s="113"/>
      <c r="O191" s="113"/>
      <c r="P191" s="113"/>
      <c r="Q191" s="113"/>
      <c r="R191" s="113"/>
      <c r="S191" s="1"/>
      <c r="T191" s="1"/>
      <c r="U191" s="1"/>
      <c r="AA191" s="1"/>
    </row>
    <row r="192" spans="1:27" ht="15.75" customHeight="1">
      <c r="A192" s="89"/>
      <c r="B192" s="20"/>
      <c r="C192" s="20"/>
      <c r="D192" s="89"/>
      <c r="E192" s="89"/>
      <c r="F192" s="89"/>
      <c r="G192" s="20"/>
      <c r="H192" s="89"/>
      <c r="I192" s="89"/>
      <c r="J192" s="89"/>
      <c r="K192" s="89"/>
      <c r="M192" s="113"/>
      <c r="N192" s="113"/>
      <c r="O192" s="113"/>
      <c r="P192" s="113"/>
      <c r="Q192" s="113"/>
      <c r="R192" s="113"/>
      <c r="S192" s="1"/>
      <c r="T192" s="1"/>
      <c r="U192" s="1"/>
      <c r="AA192" s="1"/>
    </row>
    <row r="193" spans="1:21" ht="15.75" customHeight="1">
      <c r="A193" s="89"/>
      <c r="B193" s="20"/>
      <c r="C193" s="20"/>
      <c r="D193" s="89"/>
      <c r="E193" s="89"/>
      <c r="F193" s="89"/>
      <c r="G193" s="20"/>
      <c r="H193" s="89"/>
      <c r="I193" s="89"/>
      <c r="J193" s="89"/>
      <c r="K193" s="89"/>
      <c r="M193" s="113"/>
      <c r="N193" s="113"/>
      <c r="O193" s="113"/>
      <c r="P193" s="113"/>
      <c r="Q193" s="113"/>
      <c r="R193" s="113"/>
      <c r="S193" s="1"/>
      <c r="T193" s="1"/>
      <c r="U193" s="1"/>
    </row>
    <row r="194" spans="1:21" ht="15.75" customHeight="1">
      <c r="A194" s="89"/>
      <c r="D194" s="40" t="s">
        <v>692</v>
      </c>
      <c r="E194" s="89"/>
      <c r="F194" s="89"/>
      <c r="G194" s="20"/>
      <c r="H194" s="89"/>
      <c r="I194" s="89"/>
      <c r="J194" s="89"/>
      <c r="K194" s="89"/>
      <c r="M194" s="113"/>
      <c r="N194" s="113"/>
      <c r="O194" s="113"/>
      <c r="P194" s="113"/>
      <c r="Q194" s="113"/>
      <c r="R194" s="113"/>
      <c r="S194" s="1"/>
      <c r="T194" s="1"/>
      <c r="U194" s="1"/>
    </row>
    <row r="195" spans="1:21" ht="15.75" customHeight="1">
      <c r="A195" s="89"/>
      <c r="B195" s="89"/>
      <c r="C195" s="89"/>
      <c r="D195" s="89"/>
      <c r="E195" s="89"/>
      <c r="F195" s="89"/>
      <c r="G195" s="20"/>
      <c r="H195" s="89"/>
      <c r="I195" s="89"/>
      <c r="J195" s="89"/>
      <c r="K195" s="89"/>
      <c r="M195" s="113"/>
      <c r="N195" s="113"/>
      <c r="O195" s="113"/>
      <c r="P195" s="113"/>
      <c r="Q195" s="113"/>
      <c r="R195" s="113"/>
      <c r="S195" s="1"/>
      <c r="T195" s="1"/>
      <c r="U195" s="1"/>
    </row>
    <row r="196" spans="1:21" ht="15.75" customHeight="1">
      <c r="A196" s="89"/>
      <c r="B196" s="89"/>
      <c r="C196" s="89"/>
      <c r="D196" s="89"/>
      <c r="E196" s="89"/>
      <c r="F196" s="89"/>
      <c r="G196" s="20"/>
      <c r="H196" s="89"/>
      <c r="I196" s="89"/>
      <c r="J196" s="89"/>
      <c r="K196" s="89"/>
      <c r="M196" s="113"/>
      <c r="N196" s="113"/>
      <c r="O196" s="113"/>
      <c r="P196" s="113"/>
      <c r="Q196" s="113"/>
      <c r="R196" s="113"/>
      <c r="S196" s="1"/>
      <c r="T196" s="1"/>
      <c r="U196" s="1"/>
    </row>
    <row r="197" spans="1:21" ht="15.75" customHeight="1">
      <c r="A197" s="89"/>
      <c r="B197" s="89"/>
      <c r="C197" s="89"/>
      <c r="D197" s="89"/>
      <c r="E197" s="89"/>
      <c r="F197" s="89"/>
      <c r="G197" s="20"/>
      <c r="H197" s="89"/>
      <c r="I197" s="89"/>
      <c r="J197" s="89"/>
      <c r="K197" s="89"/>
      <c r="M197" s="113"/>
      <c r="N197" s="113"/>
      <c r="O197" s="113"/>
      <c r="P197" s="113"/>
      <c r="Q197" s="113"/>
      <c r="R197" s="113"/>
      <c r="S197" s="1"/>
      <c r="T197" s="1"/>
      <c r="U197" s="1"/>
    </row>
    <row r="198" spans="1:21" ht="37.200000000000003" customHeight="1">
      <c r="A198" s="89"/>
      <c r="B198" s="89"/>
      <c r="C198" s="89"/>
      <c r="D198" s="89"/>
      <c r="E198" s="89"/>
      <c r="F198" s="89"/>
      <c r="H198" s="89"/>
      <c r="I198" s="89"/>
      <c r="J198" s="89"/>
      <c r="K198" s="89"/>
      <c r="M198" s="113"/>
      <c r="N198" s="113"/>
      <c r="O198" s="113"/>
      <c r="P198" s="113"/>
      <c r="Q198" s="113"/>
      <c r="R198" s="113"/>
      <c r="S198" s="1"/>
      <c r="T198" s="1"/>
      <c r="U198" s="1"/>
    </row>
    <row r="199" spans="1:21" ht="21.6" customHeight="1">
      <c r="A199" s="89"/>
      <c r="B199" s="89"/>
      <c r="C199" s="89"/>
      <c r="D199" s="89"/>
      <c r="E199" s="89"/>
      <c r="F199" s="89"/>
      <c r="H199" s="89"/>
      <c r="I199" s="89"/>
      <c r="J199" s="89"/>
      <c r="K199" s="89"/>
      <c r="M199" s="113"/>
      <c r="N199" s="113"/>
      <c r="O199" s="113"/>
      <c r="P199" s="113"/>
      <c r="Q199" s="113"/>
      <c r="R199" s="113"/>
      <c r="S199" s="1"/>
      <c r="T199" s="1"/>
      <c r="U199" s="1"/>
    </row>
    <row r="200" spans="1:21" ht="32.4" customHeight="1">
      <c r="A200" s="89"/>
      <c r="B200" s="89"/>
      <c r="C200" s="89"/>
      <c r="D200" s="89"/>
      <c r="E200" s="89"/>
      <c r="F200" s="89"/>
      <c r="H200" s="89"/>
      <c r="I200" s="89"/>
      <c r="J200" s="89"/>
      <c r="K200" s="89"/>
      <c r="M200" s="113"/>
      <c r="N200" s="113"/>
      <c r="O200" s="113"/>
      <c r="P200" s="113"/>
      <c r="Q200" s="113"/>
      <c r="R200" s="113"/>
      <c r="S200" s="1"/>
      <c r="T200" s="1"/>
      <c r="U200" s="1"/>
    </row>
    <row r="201" spans="1:21" ht="34.200000000000003" customHeight="1">
      <c r="A201" s="89"/>
      <c r="B201" s="89"/>
      <c r="C201" s="89"/>
      <c r="D201" s="89"/>
      <c r="E201" s="89"/>
      <c r="F201" s="89"/>
      <c r="H201" s="89"/>
      <c r="I201" s="89"/>
      <c r="J201" s="89"/>
      <c r="K201" s="89"/>
      <c r="M201" s="113"/>
      <c r="N201" s="113"/>
      <c r="O201" s="113"/>
      <c r="P201" s="113"/>
      <c r="Q201" s="113"/>
      <c r="R201" s="113"/>
      <c r="S201" s="1"/>
      <c r="T201" s="1"/>
      <c r="U201" s="1"/>
    </row>
    <row r="202" spans="1:21" ht="34.950000000000003" customHeight="1">
      <c r="A202" s="89"/>
      <c r="B202" s="89"/>
      <c r="C202" s="89"/>
      <c r="D202" s="89"/>
      <c r="E202" s="89"/>
      <c r="F202" s="89"/>
      <c r="H202" s="89"/>
      <c r="M202" s="113"/>
      <c r="N202" s="113"/>
      <c r="O202" s="113"/>
      <c r="P202" s="113"/>
      <c r="Q202" s="113"/>
      <c r="R202" s="113"/>
      <c r="S202" s="1"/>
      <c r="T202" s="1"/>
      <c r="U202" s="1"/>
    </row>
    <row r="203" spans="1:21" ht="28.2" customHeight="1">
      <c r="A203" s="89"/>
      <c r="B203" s="89"/>
      <c r="C203" s="89"/>
      <c r="D203" s="89"/>
      <c r="E203" s="89"/>
      <c r="F203" s="89"/>
      <c r="M203" s="113"/>
      <c r="N203" s="113"/>
      <c r="O203" s="113"/>
      <c r="P203" s="113"/>
      <c r="Q203" s="113"/>
      <c r="R203" s="113"/>
      <c r="S203" s="1"/>
      <c r="T203" s="1"/>
      <c r="U203" s="1"/>
    </row>
    <row r="204" spans="1:21" ht="15.75" customHeight="1">
      <c r="A204" s="1"/>
      <c r="B204" s="1"/>
      <c r="C204" s="1"/>
      <c r="D204" s="1"/>
      <c r="E204" s="89"/>
      <c r="F204" s="89"/>
      <c r="M204" s="113"/>
      <c r="N204" s="113"/>
      <c r="O204" s="113"/>
      <c r="P204" s="113"/>
      <c r="Q204" s="113"/>
      <c r="R204" s="113"/>
      <c r="S204" s="1"/>
      <c r="T204" s="1"/>
      <c r="U204" s="1"/>
    </row>
    <row r="205" spans="1:21" ht="15.75" customHeight="1">
      <c r="A205" s="22"/>
      <c r="C205" s="1"/>
      <c r="D205" s="56"/>
      <c r="E205" s="1"/>
      <c r="F205" s="1"/>
      <c r="G205" s="1"/>
      <c r="I205"/>
      <c r="M205" s="113"/>
      <c r="N205" s="113"/>
      <c r="O205" s="113"/>
      <c r="P205" s="113"/>
      <c r="Q205" s="113"/>
      <c r="R205" s="113"/>
      <c r="S205" s="1"/>
      <c r="T205" s="1"/>
      <c r="U205" s="1"/>
    </row>
    <row r="206" spans="1:21" ht="15.75" customHeight="1">
      <c r="A206" s="21"/>
      <c r="B206" s="1"/>
      <c r="C206" s="1"/>
      <c r="D206" s="56"/>
      <c r="E206" s="1"/>
      <c r="I206"/>
      <c r="M206" s="113"/>
      <c r="N206" s="113"/>
      <c r="O206" s="113"/>
      <c r="P206" s="113"/>
      <c r="Q206" s="113"/>
      <c r="R206" s="113"/>
      <c r="S206" s="1"/>
      <c r="T206" s="1"/>
      <c r="U206" s="1"/>
    </row>
    <row r="207" spans="1:21" ht="15.75" customHeight="1">
      <c r="A207" s="21"/>
      <c r="B207" s="1"/>
      <c r="C207" s="1"/>
      <c r="D207" s="56"/>
      <c r="E207" s="1"/>
      <c r="I207"/>
      <c r="M207" s="113"/>
      <c r="N207" s="113"/>
      <c r="O207" s="113"/>
      <c r="P207" s="113"/>
      <c r="Q207" s="113"/>
      <c r="R207" s="113"/>
      <c r="S207" s="1"/>
      <c r="T207" s="1"/>
      <c r="U207" s="1"/>
    </row>
    <row r="208" spans="1:21" ht="15.75" customHeight="1">
      <c r="A208" s="21"/>
      <c r="B208" s="1"/>
      <c r="C208" s="1"/>
      <c r="D208" s="56"/>
      <c r="E208" s="1"/>
      <c r="I208"/>
      <c r="M208" s="113"/>
      <c r="N208" s="113"/>
      <c r="O208" s="113"/>
      <c r="P208" s="113"/>
      <c r="Q208" s="113"/>
      <c r="R208" s="113"/>
      <c r="S208" s="1"/>
      <c r="T208" s="1"/>
      <c r="U208" s="1"/>
    </row>
    <row r="209" spans="1:21" ht="39" customHeight="1">
      <c r="A209" s="21"/>
      <c r="B209" s="1"/>
      <c r="C209" s="1"/>
      <c r="D209" s="56"/>
      <c r="E209" s="1"/>
      <c r="I209"/>
      <c r="M209" s="113"/>
      <c r="N209" s="113"/>
      <c r="O209" s="113"/>
      <c r="P209" s="113"/>
      <c r="Q209" s="113"/>
      <c r="R209" s="113"/>
      <c r="S209" s="1"/>
      <c r="T209" s="1"/>
      <c r="U209" s="1"/>
    </row>
    <row r="210" spans="1:21" ht="20.399999999999999" customHeight="1">
      <c r="A210" s="21"/>
      <c r="B210" s="1"/>
      <c r="C210" s="1"/>
      <c r="E210" s="1"/>
      <c r="I210"/>
      <c r="M210" s="113"/>
      <c r="N210" s="113"/>
      <c r="O210" s="113"/>
      <c r="P210" s="113"/>
      <c r="Q210" s="113"/>
      <c r="R210" s="113"/>
      <c r="S210" s="1"/>
      <c r="T210" s="1"/>
      <c r="U210" s="1"/>
    </row>
    <row r="211" spans="1:21" ht="20.399999999999999" customHeight="1">
      <c r="A211" s="21"/>
      <c r="B211" s="1"/>
      <c r="C211" s="1"/>
      <c r="D211" s="56"/>
      <c r="E211" s="1"/>
      <c r="I211"/>
      <c r="L211" s="43"/>
      <c r="M211" s="113"/>
      <c r="N211" s="113"/>
      <c r="O211" s="113"/>
      <c r="P211" s="113"/>
      <c r="Q211" s="113"/>
      <c r="R211" s="113"/>
      <c r="S211" s="1"/>
      <c r="T211" s="1"/>
      <c r="U211" s="1"/>
    </row>
    <row r="212" spans="1:21" ht="20.399999999999999" customHeight="1">
      <c r="A212" s="21"/>
      <c r="B212" s="1"/>
      <c r="C212" s="1"/>
      <c r="D212" s="56"/>
      <c r="E212" s="1"/>
      <c r="I212"/>
      <c r="L212" s="1"/>
      <c r="M212" s="113"/>
      <c r="N212" s="113"/>
      <c r="O212" s="113"/>
      <c r="P212" s="113"/>
      <c r="Q212" s="113"/>
      <c r="R212" s="113"/>
      <c r="S212" s="1"/>
      <c r="T212" s="1"/>
      <c r="U212" s="1"/>
    </row>
    <row r="213" spans="1:21" ht="15.75" customHeight="1">
      <c r="A213" s="21"/>
      <c r="B213" s="1"/>
      <c r="C213" s="1"/>
      <c r="D213" s="56"/>
      <c r="E213" s="1"/>
      <c r="I213"/>
      <c r="M213" s="113"/>
      <c r="N213" s="113"/>
      <c r="O213" s="113"/>
      <c r="P213" s="113"/>
      <c r="Q213" s="113"/>
      <c r="R213" s="113"/>
      <c r="S213" s="1"/>
      <c r="T213" s="1"/>
      <c r="U213" s="1"/>
    </row>
    <row r="214" spans="1:21" ht="15.75" customHeight="1">
      <c r="A214" s="21"/>
      <c r="B214" s="1"/>
      <c r="C214" s="1"/>
      <c r="D214" s="56"/>
      <c r="E214" s="1"/>
      <c r="I214"/>
      <c r="L214" s="43"/>
      <c r="M214" s="113"/>
      <c r="N214" s="113"/>
      <c r="O214" s="113"/>
      <c r="P214" s="113"/>
      <c r="Q214" s="113"/>
      <c r="R214" s="113"/>
      <c r="S214" s="1"/>
      <c r="T214" s="1"/>
      <c r="U214" s="1"/>
    </row>
    <row r="215" spans="1:21" ht="15.75" customHeight="1">
      <c r="A215" s="21"/>
      <c r="B215" s="1"/>
      <c r="C215" s="1"/>
      <c r="D215" s="56"/>
      <c r="E215" s="1"/>
      <c r="I215"/>
      <c r="L215" s="43"/>
      <c r="M215" s="113"/>
      <c r="N215" s="113"/>
      <c r="O215" s="113"/>
      <c r="P215" s="113"/>
      <c r="Q215" s="113"/>
      <c r="R215" s="113"/>
      <c r="S215" s="1"/>
      <c r="T215" s="1"/>
      <c r="U215" s="1"/>
    </row>
    <row r="216" spans="1:21" ht="15.75" customHeight="1">
      <c r="A216" s="21"/>
      <c r="B216" s="1"/>
      <c r="C216" s="1"/>
      <c r="D216" s="56"/>
      <c r="E216" s="1"/>
      <c r="I216"/>
      <c r="L216" s="43"/>
      <c r="M216" s="113"/>
      <c r="N216" s="113"/>
      <c r="O216" s="113"/>
      <c r="P216" s="113"/>
      <c r="Q216" s="113"/>
      <c r="R216" s="113"/>
      <c r="S216" s="1"/>
      <c r="T216" s="1"/>
      <c r="U216" s="1"/>
    </row>
    <row r="217" spans="1:21" ht="15.75" customHeight="1">
      <c r="A217" s="21"/>
      <c r="B217" s="1"/>
      <c r="C217" s="1"/>
      <c r="D217" s="56"/>
      <c r="E217" s="1"/>
      <c r="I217"/>
      <c r="L217" s="43"/>
      <c r="M217" s="113"/>
      <c r="N217" s="113"/>
      <c r="O217" s="113"/>
      <c r="P217" s="113"/>
      <c r="Q217" s="113"/>
      <c r="R217" s="113"/>
      <c r="S217" s="1"/>
      <c r="T217" s="1"/>
      <c r="U217" s="1"/>
    </row>
    <row r="218" spans="1:21" ht="15.75" customHeight="1">
      <c r="A218" s="21"/>
      <c r="B218" s="1"/>
      <c r="C218" s="1"/>
      <c r="D218" s="56"/>
      <c r="E218" s="1"/>
      <c r="I218" s="1"/>
      <c r="J218" s="1"/>
      <c r="K218" s="1"/>
      <c r="L218" s="43"/>
      <c r="M218" s="113"/>
      <c r="N218" s="113"/>
      <c r="O218" s="113"/>
      <c r="P218" s="113"/>
      <c r="Q218" s="113"/>
      <c r="R218" s="113"/>
      <c r="S218" s="1"/>
      <c r="T218" s="1"/>
      <c r="U218" s="1"/>
    </row>
    <row r="219" spans="1:21" ht="15.75" customHeight="1">
      <c r="A219" s="21"/>
      <c r="B219" s="1"/>
      <c r="C219" s="1"/>
      <c r="D219" s="56"/>
      <c r="E219" s="1"/>
      <c r="G219" s="1"/>
      <c r="H219" s="1"/>
      <c r="I219" s="1"/>
      <c r="J219" s="1"/>
      <c r="K219" s="1"/>
      <c r="L219" s="43"/>
      <c r="M219" s="113"/>
      <c r="N219" s="113"/>
      <c r="O219" s="113"/>
      <c r="P219" s="113"/>
      <c r="Q219" s="113"/>
      <c r="R219" s="113"/>
      <c r="S219" s="1"/>
      <c r="T219" s="1"/>
      <c r="U219" s="1"/>
    </row>
    <row r="220" spans="1:21" ht="15.75" customHeight="1">
      <c r="A220" s="21"/>
      <c r="B220" s="1"/>
      <c r="C220" s="1"/>
      <c r="D220" s="56"/>
      <c r="E220" s="1"/>
      <c r="F220" s="1"/>
      <c r="G220" s="1"/>
      <c r="H220" s="1"/>
      <c r="I220" s="1"/>
      <c r="J220" s="1"/>
      <c r="K220" s="1"/>
      <c r="L220" s="43"/>
      <c r="M220" s="113"/>
      <c r="N220" s="113"/>
      <c r="O220" s="113"/>
      <c r="P220" s="113"/>
      <c r="Q220" s="113"/>
      <c r="R220" s="113"/>
      <c r="S220" s="1"/>
      <c r="T220" s="1"/>
      <c r="U220" s="1"/>
    </row>
    <row r="221" spans="1:21" ht="15.6">
      <c r="A221" s="21"/>
      <c r="B221" s="1"/>
      <c r="C221" s="1"/>
      <c r="D221" s="56"/>
      <c r="E221" s="1"/>
      <c r="F221" s="1"/>
      <c r="G221" s="1"/>
      <c r="H221" s="1"/>
      <c r="I221" s="1"/>
      <c r="J221" s="1"/>
      <c r="K221" s="1"/>
      <c r="L221" s="43"/>
      <c r="M221" s="113"/>
      <c r="N221" s="113"/>
      <c r="O221" s="113"/>
      <c r="P221" s="113"/>
      <c r="Q221" s="113"/>
      <c r="R221" s="113"/>
      <c r="S221" s="1"/>
      <c r="T221" s="1"/>
      <c r="U221" s="1"/>
    </row>
    <row r="222" spans="1:21" ht="35.4" customHeight="1">
      <c r="A222" s="21"/>
      <c r="B222" s="1"/>
      <c r="C222" s="1"/>
      <c r="D222" s="56"/>
      <c r="E222" s="1"/>
      <c r="F222" s="1"/>
      <c r="G222" s="1"/>
      <c r="H222" s="1"/>
      <c r="I222" s="1"/>
      <c r="J222" s="1"/>
      <c r="K222" s="1"/>
      <c r="L222" s="43"/>
      <c r="M222" s="113"/>
      <c r="N222" s="113"/>
      <c r="O222" s="113"/>
      <c r="P222" s="113"/>
      <c r="Q222" s="113"/>
      <c r="R222" s="113"/>
      <c r="S222" s="1"/>
      <c r="T222" s="1"/>
      <c r="U222" s="1"/>
    </row>
    <row r="223" spans="1:21" ht="35.4" customHeight="1">
      <c r="A223" s="21"/>
      <c r="B223" s="1"/>
      <c r="C223" s="1"/>
      <c r="D223" s="56"/>
      <c r="E223" s="1"/>
      <c r="F223" s="1"/>
      <c r="G223" s="1"/>
      <c r="H223" s="1"/>
      <c r="I223" s="1"/>
      <c r="J223" s="1"/>
      <c r="K223" s="1"/>
      <c r="L223" s="43"/>
      <c r="M223" s="113"/>
      <c r="N223" s="113"/>
      <c r="O223" s="113"/>
      <c r="P223" s="113"/>
      <c r="Q223" s="113"/>
      <c r="R223" s="113"/>
      <c r="S223" s="1"/>
      <c r="T223" s="1"/>
      <c r="U223" s="1"/>
    </row>
    <row r="224" spans="1:21" ht="18.600000000000001" customHeight="1">
      <c r="A224" s="21"/>
      <c r="B224" s="1"/>
      <c r="C224" s="1"/>
      <c r="D224" s="56"/>
      <c r="E224" s="1"/>
      <c r="F224" s="1"/>
      <c r="G224" s="1"/>
      <c r="H224" s="1"/>
      <c r="I224" s="1"/>
      <c r="J224" s="1"/>
      <c r="K224" s="1"/>
      <c r="L224" s="43"/>
      <c r="M224" s="113"/>
      <c r="N224" s="113"/>
      <c r="O224" s="113"/>
      <c r="P224" s="113"/>
      <c r="Q224" s="113"/>
      <c r="R224" s="113"/>
      <c r="S224" s="1"/>
      <c r="T224" s="1"/>
      <c r="U224" s="1"/>
    </row>
    <row r="225" spans="1:21" ht="40.200000000000003" customHeight="1">
      <c r="A225" s="2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13"/>
      <c r="N225" s="113"/>
      <c r="O225" s="113"/>
      <c r="P225" s="113"/>
      <c r="Q225" s="113"/>
      <c r="R225" s="113"/>
      <c r="S225" s="1"/>
      <c r="T225" s="1"/>
      <c r="U225" s="1"/>
    </row>
    <row r="226" spans="1:21" ht="25.2" customHeight="1">
      <c r="A226" s="2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13"/>
      <c r="N226" s="113"/>
      <c r="O226" s="113"/>
      <c r="P226" s="113"/>
      <c r="Q226" s="113"/>
      <c r="R226" s="113"/>
      <c r="S226" s="1"/>
      <c r="T226" s="1"/>
      <c r="U226" s="1"/>
    </row>
    <row r="227" spans="1:21" ht="38.4" customHeight="1">
      <c r="A227" s="2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1"/>
      <c r="M227" s="113"/>
      <c r="N227" s="113"/>
      <c r="O227" s="113"/>
      <c r="P227" s="113"/>
      <c r="Q227" s="113"/>
      <c r="R227" s="113"/>
      <c r="S227" s="1"/>
      <c r="T227" s="1"/>
      <c r="U227" s="1"/>
    </row>
    <row r="228" spans="1:21" ht="22.2" customHeight="1">
      <c r="A228" s="2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13"/>
      <c r="N228" s="113"/>
      <c r="O228" s="113"/>
      <c r="P228" s="113"/>
      <c r="Q228" s="113"/>
      <c r="R228" s="113"/>
      <c r="S228" s="1"/>
      <c r="T228" s="1"/>
      <c r="U228" s="1"/>
    </row>
    <row r="229" spans="1:21" ht="22.2" customHeight="1">
      <c r="A229" s="2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13"/>
      <c r="N229" s="113"/>
      <c r="O229" s="113"/>
      <c r="P229" s="113"/>
      <c r="Q229" s="113"/>
      <c r="R229" s="113"/>
      <c r="S229" s="1"/>
      <c r="T229" s="1"/>
      <c r="U229" s="1"/>
    </row>
    <row r="230" spans="1:21" ht="22.2" customHeight="1">
      <c r="A230" s="2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13"/>
      <c r="N230" s="113"/>
      <c r="O230" s="113"/>
      <c r="P230" s="113"/>
      <c r="Q230" s="113"/>
      <c r="R230" s="113"/>
      <c r="S230" s="1"/>
      <c r="T230" s="1"/>
      <c r="U230" s="1"/>
    </row>
    <row r="231" spans="1:21" ht="22.2" customHeight="1">
      <c r="A231" s="2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13"/>
      <c r="N231" s="113"/>
      <c r="O231" s="113"/>
      <c r="P231" s="113"/>
      <c r="Q231" s="113"/>
      <c r="R231" s="113"/>
      <c r="S231" s="1"/>
      <c r="T231" s="1"/>
      <c r="U231" s="1"/>
    </row>
    <row r="232" spans="1:21" ht="22.2" customHeight="1">
      <c r="A232" s="21"/>
      <c r="B232" s="1"/>
      <c r="C232" s="1"/>
      <c r="D232" s="1"/>
      <c r="E232" s="43"/>
      <c r="F232" s="1"/>
      <c r="G232" s="1"/>
      <c r="H232" s="1"/>
      <c r="I232" s="1"/>
      <c r="J232" s="1"/>
      <c r="K232" s="1"/>
      <c r="L232" s="1"/>
      <c r="M232" s="113"/>
      <c r="N232" s="113"/>
      <c r="O232" s="113"/>
      <c r="P232" s="113"/>
      <c r="Q232" s="113"/>
      <c r="R232" s="113"/>
      <c r="S232" s="1"/>
      <c r="T232" s="1"/>
      <c r="U232" s="1"/>
    </row>
    <row r="233" spans="1:21" ht="22.2" customHeight="1">
      <c r="A233" s="21"/>
      <c r="B233" s="1"/>
      <c r="C233" s="1"/>
      <c r="D233" s="8"/>
      <c r="E233" s="1"/>
      <c r="F233" s="1"/>
      <c r="G233" s="1"/>
      <c r="H233" s="1"/>
      <c r="I233" s="1"/>
      <c r="J233" s="1"/>
      <c r="K233" s="1"/>
      <c r="L233" s="1"/>
      <c r="M233" s="113"/>
      <c r="N233" s="113"/>
      <c r="O233" s="113"/>
      <c r="P233" s="113"/>
      <c r="Q233" s="113"/>
      <c r="R233" s="113"/>
      <c r="S233" s="1"/>
      <c r="T233" s="1"/>
      <c r="U233" s="1"/>
    </row>
    <row r="234" spans="1:21" ht="22.2" customHeight="1">
      <c r="A234" s="21"/>
      <c r="B234" s="1"/>
      <c r="C234" s="1"/>
      <c r="D234" s="56"/>
      <c r="F234" s="1"/>
      <c r="G234" s="1"/>
      <c r="H234" s="1"/>
      <c r="I234" s="1"/>
      <c r="J234" s="1"/>
      <c r="K234" s="1"/>
      <c r="L234" s="1"/>
      <c r="M234" s="113"/>
      <c r="N234" s="113"/>
      <c r="O234" s="113"/>
      <c r="P234" s="113"/>
      <c r="Q234" s="113"/>
      <c r="R234" s="113"/>
      <c r="S234" s="1"/>
      <c r="T234" s="1"/>
      <c r="U234" s="1"/>
    </row>
    <row r="235" spans="1:21" ht="15.75" customHeight="1">
      <c r="A235" s="21"/>
      <c r="B235" s="1"/>
      <c r="C235" s="1"/>
      <c r="D235" s="56"/>
      <c r="F235" s="1"/>
      <c r="G235" s="1"/>
      <c r="H235" s="1"/>
      <c r="I235" s="1"/>
      <c r="J235" s="1"/>
      <c r="K235" s="1"/>
      <c r="L235" s="1"/>
      <c r="M235" s="113"/>
      <c r="N235" s="113"/>
      <c r="O235" s="113"/>
      <c r="P235" s="113"/>
      <c r="Q235" s="113"/>
      <c r="R235" s="113"/>
      <c r="S235" s="1"/>
      <c r="T235" s="1"/>
      <c r="U235" s="1"/>
    </row>
    <row r="236" spans="1:21" ht="15.75" customHeight="1">
      <c r="A236" s="21"/>
      <c r="B236" s="1"/>
      <c r="C236" s="1"/>
      <c r="D236" s="56"/>
      <c r="F236" s="1"/>
      <c r="G236" s="1"/>
      <c r="H236" s="1"/>
      <c r="I236" s="1"/>
      <c r="J236" s="1"/>
      <c r="K236" s="1"/>
      <c r="L236" s="1"/>
      <c r="M236" s="113"/>
      <c r="N236" s="113"/>
      <c r="O236" s="113"/>
      <c r="P236" s="113"/>
      <c r="Q236" s="113"/>
      <c r="R236" s="113"/>
      <c r="S236" s="1"/>
      <c r="T236" s="1"/>
      <c r="U236" s="1"/>
    </row>
    <row r="237" spans="1:21" ht="15.75" customHeight="1">
      <c r="A237" s="21"/>
      <c r="B237" s="1"/>
      <c r="C237" s="1"/>
      <c r="D237" s="56"/>
      <c r="F237" s="1"/>
      <c r="G237" s="1"/>
      <c r="H237" s="1"/>
      <c r="I237" s="1"/>
      <c r="J237" s="1"/>
      <c r="K237" s="1"/>
      <c r="L237" s="1"/>
      <c r="M237" s="113"/>
      <c r="N237" s="113"/>
      <c r="O237" s="113"/>
      <c r="P237" s="113"/>
      <c r="Q237" s="113"/>
      <c r="R237" s="113"/>
      <c r="S237" s="1"/>
      <c r="T237" s="1"/>
      <c r="U237" s="1"/>
    </row>
    <row r="238" spans="1:21" ht="15.75" customHeight="1">
      <c r="A238" s="21"/>
      <c r="B238" s="1"/>
      <c r="C238" s="1"/>
      <c r="D238" s="56"/>
      <c r="F238" s="1"/>
      <c r="G238" s="1"/>
      <c r="H238" s="1"/>
      <c r="I238" s="1"/>
      <c r="J238" s="1"/>
      <c r="K238" s="1"/>
      <c r="L238" s="1"/>
      <c r="M238" s="113"/>
      <c r="N238" s="113"/>
      <c r="O238" s="113"/>
      <c r="P238" s="113"/>
      <c r="Q238" s="113"/>
      <c r="R238" s="113"/>
      <c r="S238" s="1"/>
      <c r="T238" s="1"/>
      <c r="U238" s="1"/>
    </row>
    <row r="239" spans="1:21" ht="15.75" customHeight="1">
      <c r="A239" s="21"/>
      <c r="B239" s="1"/>
      <c r="C239" s="1"/>
      <c r="D239" s="56"/>
      <c r="F239" s="1"/>
      <c r="G239" s="1"/>
      <c r="H239" s="1"/>
      <c r="I239" s="1"/>
      <c r="J239" s="1"/>
      <c r="K239" s="1"/>
      <c r="L239" s="1"/>
      <c r="M239" s="113"/>
      <c r="N239" s="113"/>
      <c r="O239" s="113"/>
      <c r="P239" s="113"/>
      <c r="Q239" s="113"/>
      <c r="R239" s="113"/>
      <c r="S239" s="1"/>
      <c r="T239" s="1"/>
      <c r="U239" s="1"/>
    </row>
    <row r="240" spans="1:21" ht="18" customHeight="1">
      <c r="A240" s="1"/>
      <c r="B240" s="1"/>
      <c r="C240" s="1"/>
      <c r="D240" s="1"/>
      <c r="F240" s="1"/>
      <c r="G240" s="1"/>
      <c r="H240" s="1"/>
      <c r="I240" s="21"/>
      <c r="J240" s="1"/>
      <c r="K240" s="1"/>
      <c r="L240" s="1"/>
      <c r="M240" s="113"/>
      <c r="N240" s="113"/>
      <c r="O240" s="113"/>
      <c r="P240" s="113"/>
      <c r="Q240" s="113"/>
      <c r="R240" s="113"/>
      <c r="S240" s="1"/>
      <c r="T240" s="1"/>
      <c r="U240" s="1"/>
    </row>
    <row r="241" spans="1:21" ht="18" customHeight="1">
      <c r="A241" s="1"/>
      <c r="B241" s="1"/>
      <c r="C241" s="1"/>
      <c r="D241" s="1"/>
      <c r="E241" s="1"/>
      <c r="F241" s="1"/>
      <c r="G241" s="1"/>
      <c r="H241" s="1"/>
      <c r="I241" s="21"/>
      <c r="J241" s="1"/>
      <c r="K241" s="1"/>
      <c r="L241" s="1"/>
      <c r="M241" s="113"/>
      <c r="N241" s="113"/>
      <c r="O241" s="113"/>
      <c r="P241" s="113"/>
      <c r="Q241" s="113"/>
      <c r="R241" s="113"/>
      <c r="S241" s="1"/>
      <c r="T241" s="1"/>
      <c r="U241" s="1"/>
    </row>
    <row r="242" spans="1:21" ht="18" customHeight="1">
      <c r="A242" s="1"/>
      <c r="B242" s="1"/>
      <c r="C242" s="1"/>
      <c r="D242" s="1"/>
      <c r="E242" s="1"/>
      <c r="F242" s="1"/>
      <c r="G242" s="1"/>
      <c r="H242" s="1"/>
      <c r="I242" s="21"/>
      <c r="J242" s="1"/>
      <c r="K242" s="1"/>
      <c r="L242" s="21"/>
      <c r="M242" s="113"/>
      <c r="N242" s="113"/>
      <c r="O242" s="113"/>
      <c r="P242" s="113"/>
      <c r="Q242" s="113"/>
      <c r="R242" s="113"/>
      <c r="S242" s="1"/>
      <c r="T242" s="1"/>
      <c r="U242" s="1"/>
    </row>
    <row r="243" spans="1:21" ht="21.6" customHeight="1">
      <c r="A243" s="1"/>
      <c r="B243" s="1"/>
      <c r="C243" s="1"/>
      <c r="D243" s="1"/>
      <c r="E243" s="1"/>
      <c r="F243" s="1"/>
      <c r="G243" s="1"/>
      <c r="H243" s="1"/>
      <c r="I243" s="21"/>
      <c r="J243" s="1"/>
      <c r="K243" s="1"/>
      <c r="L243" s="48"/>
      <c r="M243" s="113"/>
      <c r="N243" s="113"/>
      <c r="O243" s="113"/>
      <c r="P243" s="113"/>
      <c r="Q243" s="113"/>
      <c r="R243" s="113"/>
      <c r="S243" s="1"/>
      <c r="T243" s="1"/>
      <c r="U243" s="1"/>
    </row>
    <row r="244" spans="1:21" ht="21.6" customHeight="1">
      <c r="A244" s="1"/>
      <c r="B244" s="1"/>
      <c r="C244" s="1"/>
      <c r="D244" s="1"/>
      <c r="E244" s="1"/>
      <c r="F244" s="1"/>
      <c r="G244" s="1"/>
      <c r="H244" s="1"/>
      <c r="I244" s="21"/>
      <c r="J244" s="1"/>
      <c r="K244" s="1"/>
      <c r="L244" s="48"/>
      <c r="M244" s="113"/>
      <c r="N244" s="113"/>
      <c r="O244" s="113"/>
      <c r="P244" s="113"/>
      <c r="Q244" s="113"/>
      <c r="R244" s="113"/>
      <c r="S244" s="1"/>
      <c r="T244" s="1"/>
      <c r="U244" s="1"/>
    </row>
    <row r="245" spans="1:21" ht="21.6" customHeight="1">
      <c r="E245" s="1"/>
      <c r="F245" s="1"/>
      <c r="G245" s="1"/>
      <c r="H245" s="1"/>
      <c r="I245" s="21"/>
      <c r="J245" s="1"/>
      <c r="K245" s="1"/>
      <c r="L245" s="48"/>
      <c r="M245" s="113"/>
      <c r="N245" s="113"/>
      <c r="O245" s="113"/>
      <c r="P245" s="113"/>
      <c r="Q245" s="113"/>
      <c r="R245" s="113"/>
      <c r="S245" s="1"/>
      <c r="T245" s="1"/>
      <c r="U245" s="1"/>
    </row>
    <row r="246" spans="1:21" ht="18.75" customHeight="1">
      <c r="H246" s="1"/>
      <c r="I246" s="21"/>
      <c r="J246" s="1"/>
      <c r="K246" s="1"/>
      <c r="L246" s="48"/>
      <c r="M246" s="113"/>
      <c r="N246" s="113"/>
      <c r="O246" s="113"/>
      <c r="P246" s="113"/>
      <c r="Q246" s="113"/>
      <c r="R246" s="113"/>
      <c r="S246" s="1"/>
      <c r="T246" s="1"/>
      <c r="U246" s="1"/>
    </row>
    <row r="247" spans="1:21" ht="32.4" customHeight="1">
      <c r="H247" s="1"/>
      <c r="L247" s="48"/>
      <c r="M247" s="113"/>
      <c r="N247" s="113"/>
      <c r="O247" s="113"/>
      <c r="P247" s="113"/>
      <c r="Q247" s="113"/>
      <c r="R247" s="113"/>
      <c r="S247" s="1"/>
      <c r="T247" s="1"/>
      <c r="U247" s="1"/>
    </row>
    <row r="248" spans="1:21" ht="33.6" customHeight="1">
      <c r="L248" s="48"/>
      <c r="M248" s="113"/>
      <c r="N248" s="113"/>
      <c r="O248" s="113"/>
      <c r="P248" s="113"/>
      <c r="Q248" s="113"/>
      <c r="R248" s="113"/>
      <c r="S248" s="1"/>
      <c r="T248" s="1"/>
      <c r="U248" s="1"/>
    </row>
    <row r="249" spans="1:21" ht="33.6" customHeight="1">
      <c r="L249" s="48"/>
      <c r="M249" s="113"/>
      <c r="N249" s="113"/>
      <c r="O249" s="113"/>
      <c r="P249" s="113"/>
      <c r="Q249" s="113"/>
      <c r="R249" s="113"/>
      <c r="S249" s="1"/>
      <c r="T249" s="1"/>
      <c r="U249" s="1"/>
    </row>
    <row r="250" spans="1:21" ht="33.6" customHeight="1">
      <c r="L250" s="48"/>
      <c r="M250" s="113"/>
      <c r="N250" s="113"/>
      <c r="O250" s="113"/>
      <c r="P250" s="113"/>
      <c r="Q250" s="113"/>
      <c r="R250" s="113"/>
      <c r="S250" s="1"/>
      <c r="T250" s="1"/>
      <c r="U250" s="1"/>
    </row>
    <row r="251" spans="1:21" ht="33.6" customHeight="1">
      <c r="L251" s="48"/>
      <c r="M251" s="113"/>
      <c r="N251" s="113"/>
      <c r="O251" s="113"/>
      <c r="P251" s="113"/>
      <c r="Q251" s="113"/>
      <c r="R251" s="113"/>
      <c r="S251" s="1"/>
      <c r="T251" s="1"/>
      <c r="U251" s="1"/>
    </row>
    <row r="252" spans="1:21" ht="33.6" customHeight="1"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33.6" customHeight="1"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33.6" customHeight="1"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33.6" customHeight="1"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33.6" customHeight="1"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.75" customHeight="1"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20.399999999999999" customHeight="1"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20.399999999999999" customHeight="1"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24" customHeight="1"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.75" customHeight="1"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.75" customHeight="1"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.75" customHeight="1"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.75" customHeight="1">
      <c r="A264" s="68"/>
      <c r="B264" s="20"/>
      <c r="C264" s="20"/>
      <c r="D264" s="20"/>
      <c r="I264" s="20"/>
      <c r="J264" s="20"/>
      <c r="K264" s="92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.75" customHeight="1">
      <c r="A265" s="68"/>
      <c r="B265" s="20"/>
      <c r="C265" s="20"/>
      <c r="D265" s="20"/>
      <c r="E265" s="20"/>
      <c r="F265" s="20"/>
      <c r="G265" s="20"/>
      <c r="H265" s="20"/>
      <c r="I265" s="20"/>
      <c r="J265" s="20"/>
      <c r="K265" s="92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.75" customHeight="1">
      <c r="A266" s="68"/>
      <c r="B266" s="20"/>
      <c r="C266" s="20"/>
      <c r="D266" s="20"/>
      <c r="E266" s="20"/>
      <c r="F266" s="20"/>
      <c r="G266" s="20"/>
      <c r="H266" s="20"/>
      <c r="I266" s="20"/>
      <c r="J266" s="20"/>
      <c r="K266" s="92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.75" customHeight="1">
      <c r="E267" s="20"/>
      <c r="F267" s="20"/>
      <c r="G267" s="20"/>
      <c r="H267" s="20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.75" customHeight="1"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.75" customHeight="1"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.75" customHeight="1"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.75" customHeight="1"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2:21" ht="15.75" customHeight="1"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2:21" ht="15.75" customHeight="1"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2:21" ht="15.75" customHeight="1"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2:21" ht="15.75" customHeight="1"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2:21" ht="15.75" customHeight="1"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2:21" ht="15.75" customHeight="1"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2:21" ht="15.75" customHeight="1"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2:21" ht="15.75" customHeight="1"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2:21" ht="15.75" customHeight="1"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2:21" ht="15.75" customHeight="1"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2:21" ht="15.75" customHeight="1"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2:21" ht="15.75" customHeight="1"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2:21" ht="15.75" customHeight="1"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2:21" ht="15.75" customHeight="1"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2:21" ht="15.75" customHeight="1"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2:21" ht="15.75" customHeight="1"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9:21" ht="15.75" customHeight="1"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9:21" ht="43.2" customHeight="1"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9:21" ht="15.75" customHeight="1">
      <c r="L291" s="1"/>
      <c r="M291" s="1"/>
      <c r="N291" s="1"/>
      <c r="O291" s="1"/>
      <c r="P291" s="1"/>
      <c r="Q291" s="1"/>
      <c r="R291" s="1"/>
      <c r="S291" s="1"/>
      <c r="T291" s="1"/>
    </row>
    <row r="292" spans="9:21" ht="15.75" customHeight="1">
      <c r="L292" s="1"/>
      <c r="M292" s="1"/>
      <c r="N292" s="1"/>
      <c r="O292" s="1"/>
      <c r="P292" s="1"/>
      <c r="Q292" s="1"/>
      <c r="R292" s="1"/>
      <c r="S292" s="1"/>
      <c r="T292" s="1"/>
    </row>
    <row r="293" spans="9:21" ht="15.75" customHeight="1">
      <c r="L293" s="1"/>
      <c r="M293" s="1"/>
      <c r="N293" s="1"/>
      <c r="O293" s="1"/>
      <c r="P293" s="1"/>
      <c r="Q293" s="1"/>
      <c r="R293" s="1"/>
      <c r="S293" s="1"/>
      <c r="T293" s="1"/>
    </row>
    <row r="294" spans="9:21" ht="15.75" customHeight="1">
      <c r="L294" s="1"/>
      <c r="M294" s="1"/>
      <c r="N294" s="1"/>
      <c r="O294" s="1"/>
      <c r="P294" s="1"/>
      <c r="Q294" s="1"/>
      <c r="R294" s="1"/>
      <c r="S294" s="1"/>
      <c r="T294" s="1"/>
    </row>
    <row r="295" spans="9:21" ht="15.75" customHeight="1">
      <c r="L295" s="1"/>
      <c r="M295" s="1"/>
      <c r="N295" s="1"/>
      <c r="O295" s="1"/>
      <c r="P295" s="1"/>
      <c r="Q295" s="1"/>
      <c r="R295" s="1"/>
      <c r="S295" s="1"/>
      <c r="T295" s="1"/>
    </row>
    <row r="296" spans="9:21" ht="15.75" customHeight="1">
      <c r="L296" s="1"/>
      <c r="M296" s="1"/>
      <c r="N296" s="1"/>
      <c r="O296" s="1"/>
      <c r="P296" s="1"/>
      <c r="Q296" s="1"/>
      <c r="R296" s="1"/>
      <c r="S296" s="1"/>
      <c r="T296" s="1"/>
    </row>
    <row r="297" spans="9:21" ht="15.75" customHeight="1">
      <c r="L297" s="1"/>
      <c r="M297" s="1"/>
      <c r="N297" s="1"/>
      <c r="O297" s="1"/>
      <c r="P297" s="1"/>
      <c r="Q297" s="1"/>
      <c r="R297" s="1"/>
      <c r="S297" s="1"/>
      <c r="T297" s="1"/>
    </row>
    <row r="298" spans="9:21" ht="15.75" customHeight="1">
      <c r="I298" s="70" t="s">
        <v>272</v>
      </c>
      <c r="J298" s="25" t="s">
        <v>279</v>
      </c>
      <c r="L298" s="1"/>
      <c r="M298" s="1"/>
      <c r="N298" s="1"/>
      <c r="O298" s="1"/>
      <c r="P298" s="1"/>
      <c r="Q298" s="1"/>
      <c r="R298" s="1"/>
      <c r="S298" s="1"/>
      <c r="T298" s="1"/>
    </row>
    <row r="299" spans="9:21" ht="15.75" customHeight="1">
      <c r="I299" s="70" t="s">
        <v>280</v>
      </c>
      <c r="J299" s="25" t="s">
        <v>281</v>
      </c>
      <c r="L299" s="1"/>
      <c r="M299" s="1"/>
      <c r="N299" s="1"/>
      <c r="O299" s="1"/>
      <c r="P299" s="1"/>
      <c r="Q299" s="1"/>
      <c r="R299" s="1"/>
      <c r="S299" s="1"/>
      <c r="T299" s="1"/>
    </row>
    <row r="300" spans="9:21" ht="15.75" customHeight="1">
      <c r="I300" s="70" t="s">
        <v>18</v>
      </c>
      <c r="J300" s="25" t="s">
        <v>282</v>
      </c>
      <c r="L300" s="1"/>
      <c r="M300" s="1"/>
      <c r="N300" s="1"/>
      <c r="O300" s="1"/>
      <c r="P300" s="1"/>
      <c r="Q300" s="1"/>
      <c r="R300" s="1"/>
      <c r="S300" s="1"/>
      <c r="T300" s="1"/>
    </row>
    <row r="301" spans="9:21" ht="15.75" customHeight="1">
      <c r="I301" s="70" t="s">
        <v>22</v>
      </c>
      <c r="J301" s="25" t="s">
        <v>283</v>
      </c>
      <c r="L301" s="1"/>
      <c r="M301" s="1"/>
      <c r="N301" s="1"/>
      <c r="O301" s="1"/>
      <c r="P301" s="1"/>
      <c r="Q301" s="1"/>
      <c r="R301" s="1"/>
      <c r="S301" s="1"/>
      <c r="T301" s="1"/>
    </row>
    <row r="302" spans="9:21" ht="15.75" customHeight="1">
      <c r="I302" s="70" t="s">
        <v>26</v>
      </c>
      <c r="J302" s="25" t="s">
        <v>284</v>
      </c>
      <c r="L302" s="1"/>
      <c r="M302" s="1"/>
      <c r="N302" s="1"/>
      <c r="O302" s="1"/>
      <c r="P302" s="1"/>
      <c r="Q302" s="1"/>
      <c r="R302" s="1"/>
      <c r="S302" s="1"/>
      <c r="T302" s="1"/>
    </row>
    <row r="303" spans="9:21" ht="15.75" customHeight="1">
      <c r="I303" s="70" t="s">
        <v>30</v>
      </c>
      <c r="J303" s="25" t="s">
        <v>285</v>
      </c>
      <c r="L303" s="1"/>
      <c r="M303" s="1"/>
      <c r="N303" s="1"/>
      <c r="O303" s="1"/>
      <c r="P303" s="1"/>
      <c r="Q303" s="1"/>
      <c r="R303" s="1"/>
      <c r="S303" s="1"/>
      <c r="T303" s="1"/>
    </row>
    <row r="304" spans="9:21" ht="15.75" customHeight="1">
      <c r="I304" s="70" t="s">
        <v>33</v>
      </c>
      <c r="J304" s="25" t="s">
        <v>281</v>
      </c>
      <c r="L304" s="1"/>
      <c r="M304" s="1"/>
      <c r="N304" s="1"/>
      <c r="O304" s="1"/>
      <c r="P304" s="1"/>
      <c r="Q304" s="1"/>
      <c r="R304" s="1"/>
      <c r="S304" s="1"/>
      <c r="T304" s="1"/>
    </row>
    <row r="305" spans="9:20" ht="15.75" customHeight="1">
      <c r="I305" s="70" t="s">
        <v>35</v>
      </c>
      <c r="J305" s="25" t="s">
        <v>283</v>
      </c>
      <c r="L305" s="1"/>
      <c r="M305" s="1"/>
      <c r="N305" s="1"/>
      <c r="O305" s="1"/>
      <c r="P305" s="1"/>
      <c r="Q305" s="1"/>
      <c r="R305" s="1"/>
      <c r="S305" s="1"/>
      <c r="T305" s="1"/>
    </row>
    <row r="306" spans="9:20" ht="15.75" customHeight="1">
      <c r="I306" s="70" t="s">
        <v>122</v>
      </c>
      <c r="J306" s="25" t="s">
        <v>285</v>
      </c>
      <c r="L306" s="1"/>
      <c r="M306" s="1"/>
      <c r="N306" s="1"/>
      <c r="O306" s="1"/>
      <c r="P306" s="1"/>
      <c r="Q306" s="1"/>
      <c r="R306" s="1"/>
      <c r="S306" s="1"/>
      <c r="T306" s="1"/>
    </row>
    <row r="307" spans="9:20" ht="15.75" customHeight="1">
      <c r="L307" s="1"/>
      <c r="M307" s="1"/>
      <c r="N307" s="1"/>
      <c r="O307" s="1"/>
      <c r="P307" s="1"/>
      <c r="Q307" s="1"/>
      <c r="R307" s="1"/>
      <c r="S307" s="1"/>
      <c r="T307" s="1"/>
    </row>
    <row r="308" spans="9:20" ht="15.75" customHeight="1">
      <c r="L308" s="1"/>
      <c r="M308" s="1"/>
      <c r="N308" s="1"/>
      <c r="O308" s="1"/>
      <c r="P308" s="1"/>
      <c r="Q308" s="1"/>
      <c r="R308" s="1"/>
      <c r="S308" s="1"/>
      <c r="T308" s="1"/>
    </row>
    <row r="309" spans="9:20" ht="15.75" customHeight="1">
      <c r="L309" s="1"/>
      <c r="M309" s="1"/>
      <c r="N309" s="1"/>
      <c r="O309" s="1"/>
      <c r="P309" s="1"/>
      <c r="Q309" s="1"/>
      <c r="R309" s="1"/>
      <c r="S309" s="1"/>
      <c r="T309" s="1"/>
    </row>
    <row r="310" spans="9:20" ht="15.75" customHeight="1">
      <c r="L310" s="1"/>
      <c r="M310" s="1"/>
      <c r="N310" s="1"/>
      <c r="O310" s="1"/>
      <c r="P310" s="1"/>
      <c r="Q310" s="1"/>
      <c r="R310" s="1"/>
      <c r="S310" s="1"/>
      <c r="T310" s="1"/>
    </row>
    <row r="311" spans="9:20" ht="15.75" customHeight="1">
      <c r="M311" s="1"/>
      <c r="N311" s="1"/>
      <c r="O311" s="1"/>
      <c r="P311" s="1"/>
      <c r="Q311" s="1"/>
      <c r="R311" s="1"/>
      <c r="S311" s="1"/>
      <c r="T311" s="1"/>
    </row>
    <row r="312" spans="9:20" ht="15.75" customHeight="1">
      <c r="M312" s="1"/>
      <c r="N312" s="1"/>
      <c r="O312" s="1"/>
      <c r="P312" s="1"/>
      <c r="Q312" s="1"/>
      <c r="R312" s="1"/>
      <c r="S312" s="1"/>
      <c r="T312" s="1"/>
    </row>
    <row r="313" spans="9:20" ht="15.75" customHeight="1">
      <c r="M313" s="1"/>
      <c r="N313" s="1"/>
      <c r="O313" s="1"/>
      <c r="P313" s="1"/>
      <c r="Q313" s="1"/>
      <c r="R313" s="1"/>
      <c r="S313" s="1"/>
      <c r="T313" s="1"/>
    </row>
    <row r="314" spans="9:20" ht="15.75" customHeight="1">
      <c r="M314" s="1"/>
      <c r="N314" s="1"/>
      <c r="O314" s="1"/>
      <c r="P314" s="1"/>
      <c r="Q314" s="1"/>
      <c r="R314" s="1"/>
      <c r="S314" s="1"/>
      <c r="T314" s="1"/>
    </row>
    <row r="315" spans="9:20" ht="15.75" customHeight="1">
      <c r="T315" s="1"/>
    </row>
    <row r="316" spans="9:20" ht="15.75" customHeight="1">
      <c r="T316" s="1"/>
    </row>
    <row r="317" spans="9:20" ht="15.75" customHeight="1">
      <c r="T317" s="1"/>
    </row>
    <row r="318" spans="9:20" ht="15.75" customHeight="1">
      <c r="T318" s="1"/>
    </row>
    <row r="319" spans="9:20" ht="15.75" customHeight="1">
      <c r="T319" s="1"/>
    </row>
    <row r="320" spans="9:20" ht="15.75" customHeight="1">
      <c r="T320" s="1"/>
    </row>
    <row r="321" spans="3:20" ht="15.75" customHeight="1">
      <c r="T321" s="1"/>
    </row>
    <row r="322" spans="3:20" ht="15.75" customHeight="1">
      <c r="T322" s="1"/>
    </row>
    <row r="323" spans="3:20" ht="15.75" customHeight="1">
      <c r="T323" s="1"/>
    </row>
    <row r="324" spans="3:20" ht="15.75" customHeight="1">
      <c r="T324" s="1"/>
    </row>
    <row r="325" spans="3:20" ht="15.75" customHeight="1"/>
    <row r="326" spans="3:20" ht="15.75" customHeight="1"/>
    <row r="327" spans="3:20" ht="15.75" customHeight="1"/>
    <row r="328" spans="3:20" ht="15.75" customHeight="1" thickBot="1"/>
    <row r="329" spans="3:20" ht="15.75" customHeight="1" thickBot="1">
      <c r="C329" s="162" t="s">
        <v>272</v>
      </c>
      <c r="D329" s="163" t="s">
        <v>828</v>
      </c>
    </row>
    <row r="330" spans="3:20" ht="15.75" customHeight="1" thickBot="1">
      <c r="C330" s="164" t="s">
        <v>423</v>
      </c>
      <c r="D330" s="165">
        <v>31400</v>
      </c>
    </row>
    <row r="331" spans="3:20" ht="15.75" customHeight="1" thickBot="1">
      <c r="C331" s="164" t="s">
        <v>829</v>
      </c>
      <c r="D331" s="165">
        <v>32000</v>
      </c>
    </row>
    <row r="332" spans="3:20" ht="15.75" customHeight="1" thickBot="1">
      <c r="C332" s="164" t="s">
        <v>830</v>
      </c>
      <c r="D332" s="165">
        <v>17600</v>
      </c>
    </row>
    <row r="333" spans="3:20" ht="15.75" customHeight="1" thickBot="1">
      <c r="C333" s="164">
        <v>1</v>
      </c>
      <c r="D333" s="165">
        <v>22500</v>
      </c>
    </row>
    <row r="334" spans="3:20" ht="15.75" customHeight="1" thickBot="1">
      <c r="C334" s="164">
        <v>2</v>
      </c>
      <c r="D334" s="165">
        <v>11700</v>
      </c>
    </row>
    <row r="335" spans="3:20" ht="15.75" customHeight="1" thickBot="1">
      <c r="C335" s="164">
        <v>3</v>
      </c>
      <c r="D335" s="165">
        <v>18900</v>
      </c>
    </row>
    <row r="336" spans="3:20" ht="15.75" customHeight="1" thickBot="1">
      <c r="C336" s="164">
        <v>4</v>
      </c>
      <c r="D336" s="165">
        <v>22500</v>
      </c>
    </row>
    <row r="337" spans="3:4" ht="15.75" customHeight="1" thickBot="1">
      <c r="C337" s="166"/>
      <c r="D337" s="167">
        <v>0</v>
      </c>
    </row>
    <row r="338" spans="3:4" ht="15.75" customHeight="1" thickBot="1">
      <c r="C338" s="168" t="s">
        <v>831</v>
      </c>
      <c r="D338" s="165">
        <v>4750</v>
      </c>
    </row>
    <row r="339" spans="3:4" ht="15.75" customHeight="1" thickBot="1">
      <c r="C339" s="168" t="s">
        <v>832</v>
      </c>
      <c r="D339" s="165">
        <v>6400</v>
      </c>
    </row>
    <row r="340" spans="3:4" ht="15.75" customHeight="1" thickBot="1">
      <c r="C340" s="168" t="s">
        <v>3</v>
      </c>
      <c r="D340" s="169">
        <v>167750</v>
      </c>
    </row>
    <row r="341" spans="3:4" ht="15.75" customHeight="1"/>
    <row r="342" spans="3:4" ht="15.75" customHeight="1"/>
    <row r="343" spans="3:4" ht="15.75" customHeight="1"/>
    <row r="344" spans="3:4" ht="15.75" customHeight="1"/>
    <row r="345" spans="3:4" ht="15.75" customHeight="1"/>
    <row r="346" spans="3:4" ht="15.75" customHeight="1"/>
    <row r="347" spans="3:4" ht="15.75" customHeight="1"/>
    <row r="348" spans="3:4" ht="15.75" customHeight="1"/>
    <row r="349" spans="3:4" ht="15.75" customHeight="1"/>
    <row r="350" spans="3:4" ht="15.75" customHeight="1"/>
    <row r="351" spans="3:4" ht="15.75" customHeight="1"/>
    <row r="352" spans="3: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</sheetData>
  <mergeCells count="20">
    <mergeCell ref="U10:W10"/>
    <mergeCell ref="A1:K1"/>
    <mergeCell ref="M1:S1"/>
    <mergeCell ref="A72:K72"/>
    <mergeCell ref="U23:W23"/>
    <mergeCell ref="A2:K2"/>
    <mergeCell ref="A38:E38"/>
    <mergeCell ref="A39:K39"/>
    <mergeCell ref="A114:E114"/>
    <mergeCell ref="A95:E95"/>
    <mergeCell ref="A70:E70"/>
    <mergeCell ref="A157:E157"/>
    <mergeCell ref="A172:E172"/>
    <mergeCell ref="A96:K96"/>
    <mergeCell ref="A133:E133"/>
    <mergeCell ref="A145:E145"/>
    <mergeCell ref="A115:K115"/>
    <mergeCell ref="A134:K134"/>
    <mergeCell ref="A146:K146"/>
    <mergeCell ref="A158:K158"/>
  </mergeCells>
  <printOptions horizontalCentered="1"/>
  <pageMargins left="0.7" right="0.7" top="0.75" bottom="0.75" header="0" footer="0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91"/>
  <sheetViews>
    <sheetView topLeftCell="A24" workbookViewId="0">
      <selection activeCell="F40" sqref="F40"/>
    </sheetView>
  </sheetViews>
  <sheetFormatPr defaultRowHeight="14.4"/>
  <cols>
    <col min="1" max="1" width="15.6640625" bestFit="1" customWidth="1"/>
    <col min="4" max="4" width="30.21875" customWidth="1"/>
    <col min="5" max="5" width="12.44140625" style="435" bestFit="1" customWidth="1"/>
    <col min="6" max="6" width="12.33203125" bestFit="1" customWidth="1"/>
  </cols>
  <sheetData>
    <row r="1" spans="1:6">
      <c r="A1" s="442" t="s">
        <v>990</v>
      </c>
      <c r="B1" s="22" t="s">
        <v>968</v>
      </c>
      <c r="C1" s="22" t="s">
        <v>89</v>
      </c>
      <c r="D1" s="22" t="s">
        <v>991</v>
      </c>
      <c r="E1" s="433" t="s">
        <v>153</v>
      </c>
      <c r="F1" s="22" t="s">
        <v>992</v>
      </c>
    </row>
    <row r="2" spans="1:6">
      <c r="A2" s="357">
        <v>46022</v>
      </c>
      <c r="B2" s="412" t="s">
        <v>477</v>
      </c>
      <c r="C2" s="343" t="s">
        <v>1012</v>
      </c>
      <c r="D2" s="13" t="s">
        <v>1017</v>
      </c>
      <c r="E2" s="25">
        <v>14500</v>
      </c>
      <c r="F2" s="355" t="s">
        <v>979</v>
      </c>
    </row>
    <row r="3" spans="1:6">
      <c r="A3" s="357">
        <v>46022</v>
      </c>
      <c r="B3" s="412" t="s">
        <v>477</v>
      </c>
      <c r="C3" s="343" t="s">
        <v>1012</v>
      </c>
      <c r="D3" s="13" t="s">
        <v>944</v>
      </c>
      <c r="E3" s="25">
        <v>5000</v>
      </c>
      <c r="F3" s="355" t="s">
        <v>979</v>
      </c>
    </row>
    <row r="4" spans="1:6">
      <c r="A4" s="357">
        <v>46022</v>
      </c>
      <c r="B4" s="412" t="s">
        <v>477</v>
      </c>
      <c r="C4" s="343" t="s">
        <v>1012</v>
      </c>
      <c r="D4" s="13" t="s">
        <v>240</v>
      </c>
      <c r="E4" s="25">
        <v>8800</v>
      </c>
      <c r="F4" s="355" t="s">
        <v>979</v>
      </c>
    </row>
    <row r="5" spans="1:6">
      <c r="A5" s="357">
        <v>46022</v>
      </c>
      <c r="B5" s="412" t="s">
        <v>477</v>
      </c>
      <c r="C5" s="343" t="s">
        <v>1012</v>
      </c>
      <c r="D5" s="13" t="s">
        <v>1033</v>
      </c>
      <c r="E5" s="25">
        <v>9500</v>
      </c>
      <c r="F5" s="355" t="s">
        <v>979</v>
      </c>
    </row>
    <row r="6" spans="1:6">
      <c r="A6" s="357">
        <v>46022</v>
      </c>
      <c r="B6" s="412" t="s">
        <v>477</v>
      </c>
      <c r="C6" s="343" t="s">
        <v>1012</v>
      </c>
      <c r="D6" s="13" t="s">
        <v>1021</v>
      </c>
      <c r="E6" s="25">
        <v>7000</v>
      </c>
      <c r="F6" s="355" t="s">
        <v>979</v>
      </c>
    </row>
    <row r="7" spans="1:6">
      <c r="A7" s="357">
        <v>46022</v>
      </c>
      <c r="B7" s="412" t="s">
        <v>477</v>
      </c>
      <c r="C7" s="343" t="s">
        <v>1012</v>
      </c>
      <c r="D7" s="13" t="s">
        <v>943</v>
      </c>
      <c r="E7" s="25">
        <v>7500</v>
      </c>
      <c r="F7" s="355" t="s">
        <v>979</v>
      </c>
    </row>
    <row r="8" spans="1:6">
      <c r="A8" s="357">
        <v>46022</v>
      </c>
      <c r="B8" s="412" t="s">
        <v>477</v>
      </c>
      <c r="C8" s="343" t="s">
        <v>1012</v>
      </c>
      <c r="D8" s="13" t="s">
        <v>1018</v>
      </c>
      <c r="E8" s="25">
        <v>8000</v>
      </c>
      <c r="F8" s="355" t="s">
        <v>979</v>
      </c>
    </row>
    <row r="9" spans="1:6">
      <c r="A9" s="357">
        <v>46022</v>
      </c>
      <c r="B9" s="412" t="s">
        <v>477</v>
      </c>
      <c r="C9" s="343" t="s">
        <v>1012</v>
      </c>
      <c r="D9" s="13" t="s">
        <v>1020</v>
      </c>
      <c r="E9" s="25">
        <v>8000</v>
      </c>
      <c r="F9" s="355" t="s">
        <v>979</v>
      </c>
    </row>
    <row r="10" spans="1:6">
      <c r="A10" s="357">
        <v>46022</v>
      </c>
      <c r="B10" s="412" t="s">
        <v>477</v>
      </c>
      <c r="C10" s="343" t="s">
        <v>1012</v>
      </c>
      <c r="D10" s="13" t="s">
        <v>531</v>
      </c>
      <c r="E10" s="25">
        <v>9000</v>
      </c>
      <c r="F10" s="355" t="s">
        <v>979</v>
      </c>
    </row>
    <row r="11" spans="1:6">
      <c r="A11" s="357">
        <v>46022</v>
      </c>
      <c r="B11" s="412" t="s">
        <v>477</v>
      </c>
      <c r="C11" s="343" t="s">
        <v>1012</v>
      </c>
      <c r="D11" s="13" t="s">
        <v>1019</v>
      </c>
      <c r="E11" s="25">
        <v>9000</v>
      </c>
      <c r="F11" s="355" t="s">
        <v>979</v>
      </c>
    </row>
    <row r="12" spans="1:6">
      <c r="A12" s="357">
        <v>46022</v>
      </c>
      <c r="B12" s="412" t="s">
        <v>477</v>
      </c>
      <c r="C12" s="343" t="s">
        <v>1012</v>
      </c>
      <c r="D12" s="466" t="s">
        <v>1034</v>
      </c>
      <c r="E12" s="467">
        <v>6500</v>
      </c>
      <c r="F12" s="355" t="s">
        <v>979</v>
      </c>
    </row>
    <row r="13" spans="1:6">
      <c r="A13" s="357">
        <v>46022</v>
      </c>
      <c r="B13" s="412" t="s">
        <v>477</v>
      </c>
      <c r="C13" s="343" t="s">
        <v>1012</v>
      </c>
      <c r="D13" s="466" t="s">
        <v>1035</v>
      </c>
      <c r="E13" s="467">
        <v>10000</v>
      </c>
      <c r="F13" s="355" t="s">
        <v>979</v>
      </c>
    </row>
    <row r="14" spans="1:6">
      <c r="A14" s="357">
        <v>46022</v>
      </c>
      <c r="B14" s="412" t="s">
        <v>477</v>
      </c>
      <c r="C14" s="343" t="s">
        <v>1012</v>
      </c>
      <c r="D14" s="466" t="s">
        <v>78</v>
      </c>
      <c r="E14" s="467">
        <v>7000</v>
      </c>
      <c r="F14" s="355" t="s">
        <v>979</v>
      </c>
    </row>
    <row r="15" spans="1:6">
      <c r="A15" s="357">
        <v>46022</v>
      </c>
      <c r="B15" s="412" t="s">
        <v>477</v>
      </c>
      <c r="C15" s="343" t="s">
        <v>1012</v>
      </c>
      <c r="D15" s="466" t="s">
        <v>826</v>
      </c>
      <c r="E15" s="467">
        <v>6000</v>
      </c>
      <c r="F15" s="355" t="s">
        <v>979</v>
      </c>
    </row>
    <row r="16" spans="1:6">
      <c r="A16" s="357">
        <v>46022</v>
      </c>
      <c r="B16" s="412" t="s">
        <v>477</v>
      </c>
      <c r="C16" s="343" t="s">
        <v>822</v>
      </c>
      <c r="D16" s="343"/>
      <c r="E16" s="437">
        <v>4100</v>
      </c>
      <c r="F16" s="355" t="s">
        <v>65</v>
      </c>
    </row>
    <row r="17" spans="1:6">
      <c r="A17" s="357">
        <v>46022</v>
      </c>
      <c r="B17" s="412" t="s">
        <v>477</v>
      </c>
      <c r="C17" s="343" t="s">
        <v>506</v>
      </c>
      <c r="D17" s="470" t="s">
        <v>1036</v>
      </c>
      <c r="E17" s="437">
        <f>240+130+80+50+360+635+320+2000+300+200+2200+200</f>
        <v>6715</v>
      </c>
      <c r="F17" s="355" t="s">
        <v>981</v>
      </c>
    </row>
    <row r="18" spans="1:6">
      <c r="A18" s="357">
        <v>46022</v>
      </c>
      <c r="B18" s="412" t="s">
        <v>477</v>
      </c>
      <c r="C18" s="343" t="s">
        <v>1037</v>
      </c>
      <c r="D18" s="470" t="s">
        <v>1038</v>
      </c>
      <c r="E18" s="437">
        <v>8950</v>
      </c>
      <c r="F18" s="355" t="s">
        <v>981</v>
      </c>
    </row>
    <row r="19" spans="1:6">
      <c r="A19" s="357">
        <v>46022</v>
      </c>
      <c r="B19" s="412" t="s">
        <v>462</v>
      </c>
      <c r="C19" s="343" t="s">
        <v>1012</v>
      </c>
      <c r="D19" s="343" t="s">
        <v>1041</v>
      </c>
      <c r="E19" s="436">
        <f>15000+1500</f>
        <v>16500</v>
      </c>
      <c r="F19" s="355" t="s">
        <v>980</v>
      </c>
    </row>
    <row r="20" spans="1:6">
      <c r="A20" s="357">
        <v>46022</v>
      </c>
      <c r="B20" s="412" t="s">
        <v>462</v>
      </c>
      <c r="C20" s="343" t="s">
        <v>1012</v>
      </c>
      <c r="D20" s="343" t="s">
        <v>587</v>
      </c>
      <c r="E20" s="437">
        <v>7400</v>
      </c>
      <c r="F20" s="355" t="s">
        <v>980</v>
      </c>
    </row>
    <row r="21" spans="1:6">
      <c r="A21" s="357">
        <v>46022</v>
      </c>
      <c r="B21" s="412" t="s">
        <v>462</v>
      </c>
      <c r="C21" s="343" t="s">
        <v>1012</v>
      </c>
      <c r="D21" s="343" t="s">
        <v>825</v>
      </c>
      <c r="E21" s="437">
        <v>8700</v>
      </c>
      <c r="F21" s="355" t="s">
        <v>980</v>
      </c>
    </row>
    <row r="22" spans="1:6">
      <c r="A22" s="357">
        <v>46022</v>
      </c>
      <c r="B22" s="412" t="s">
        <v>462</v>
      </c>
      <c r="C22" s="343" t="s">
        <v>1012</v>
      </c>
      <c r="D22" s="343" t="s">
        <v>623</v>
      </c>
      <c r="E22" s="436">
        <v>7200</v>
      </c>
      <c r="F22" s="355" t="s">
        <v>980</v>
      </c>
    </row>
    <row r="23" spans="1:6">
      <c r="A23" s="357">
        <v>46022</v>
      </c>
      <c r="B23" s="412" t="s">
        <v>462</v>
      </c>
      <c r="C23" s="343" t="s">
        <v>1012</v>
      </c>
      <c r="D23" s="343" t="s">
        <v>1042</v>
      </c>
      <c r="E23" s="436">
        <v>10000</v>
      </c>
      <c r="F23" s="355" t="s">
        <v>980</v>
      </c>
    </row>
    <row r="24" spans="1:6">
      <c r="A24" s="357">
        <v>46022</v>
      </c>
      <c r="B24" s="412" t="s">
        <v>462</v>
      </c>
      <c r="C24" s="343" t="s">
        <v>1012</v>
      </c>
      <c r="D24" s="343" t="s">
        <v>1043</v>
      </c>
      <c r="E24" s="436">
        <v>6500</v>
      </c>
      <c r="F24" s="355" t="s">
        <v>980</v>
      </c>
    </row>
    <row r="25" spans="1:6">
      <c r="A25" s="357">
        <v>46022</v>
      </c>
      <c r="B25" s="412" t="s">
        <v>462</v>
      </c>
      <c r="C25" s="343" t="s">
        <v>1012</v>
      </c>
      <c r="D25" s="343" t="s">
        <v>836</v>
      </c>
      <c r="E25" s="437">
        <v>6400</v>
      </c>
      <c r="F25" s="355" t="s">
        <v>980</v>
      </c>
    </row>
    <row r="26" spans="1:6">
      <c r="A26" s="357">
        <v>46022</v>
      </c>
      <c r="B26" s="412" t="s">
        <v>462</v>
      </c>
      <c r="C26" s="343" t="s">
        <v>1012</v>
      </c>
      <c r="D26" s="343" t="s">
        <v>946</v>
      </c>
      <c r="E26" s="437">
        <v>9500</v>
      </c>
      <c r="F26" s="355" t="s">
        <v>980</v>
      </c>
    </row>
    <row r="27" spans="1:6">
      <c r="A27" s="357">
        <v>46022</v>
      </c>
      <c r="B27" s="412" t="s">
        <v>462</v>
      </c>
      <c r="C27" s="343" t="s">
        <v>1012</v>
      </c>
      <c r="D27" s="343" t="s">
        <v>1044</v>
      </c>
      <c r="E27" s="437">
        <v>6000</v>
      </c>
      <c r="F27" s="355" t="s">
        <v>980</v>
      </c>
    </row>
    <row r="28" spans="1:6">
      <c r="A28" s="357">
        <v>46022</v>
      </c>
      <c r="B28" s="412" t="s">
        <v>462</v>
      </c>
      <c r="C28" s="343" t="s">
        <v>1012</v>
      </c>
      <c r="D28" s="343" t="s">
        <v>1045</v>
      </c>
      <c r="E28" s="436">
        <v>6000</v>
      </c>
      <c r="F28" s="355" t="s">
        <v>980</v>
      </c>
    </row>
    <row r="29" spans="1:6">
      <c r="A29" s="357">
        <v>46022</v>
      </c>
      <c r="B29" s="412" t="s">
        <v>462</v>
      </c>
      <c r="C29" s="343" t="s">
        <v>1012</v>
      </c>
      <c r="D29" s="343" t="s">
        <v>1046</v>
      </c>
      <c r="E29" s="437">
        <v>6000</v>
      </c>
      <c r="F29" s="355" t="s">
        <v>980</v>
      </c>
    </row>
    <row r="30" spans="1:6">
      <c r="A30" s="357">
        <v>46022</v>
      </c>
      <c r="B30" s="412" t="s">
        <v>462</v>
      </c>
      <c r="C30" s="343" t="s">
        <v>1012</v>
      </c>
      <c r="D30" s="343" t="s">
        <v>1047</v>
      </c>
      <c r="E30" s="437">
        <v>7000</v>
      </c>
      <c r="F30" s="355" t="s">
        <v>980</v>
      </c>
    </row>
    <row r="31" spans="1:6">
      <c r="A31" s="357">
        <v>46022</v>
      </c>
      <c r="B31" s="412" t="s">
        <v>462</v>
      </c>
      <c r="C31" s="343" t="s">
        <v>1012</v>
      </c>
      <c r="D31" s="343" t="s">
        <v>589</v>
      </c>
      <c r="E31" s="437">
        <v>6000</v>
      </c>
      <c r="F31" s="355" t="s">
        <v>980</v>
      </c>
    </row>
    <row r="32" spans="1:6">
      <c r="A32" s="357">
        <v>46022</v>
      </c>
      <c r="B32" s="412" t="s">
        <v>462</v>
      </c>
      <c r="C32" s="343" t="s">
        <v>989</v>
      </c>
      <c r="D32" s="343" t="s">
        <v>1049</v>
      </c>
      <c r="E32" s="437">
        <v>2000</v>
      </c>
      <c r="F32" s="355" t="s">
        <v>980</v>
      </c>
    </row>
    <row r="33" spans="1:6">
      <c r="A33" s="357">
        <v>46022</v>
      </c>
      <c r="B33" s="412" t="s">
        <v>462</v>
      </c>
      <c r="C33" s="343" t="s">
        <v>505</v>
      </c>
      <c r="D33" s="343"/>
      <c r="E33" s="437">
        <v>17000</v>
      </c>
      <c r="F33" s="355" t="s">
        <v>980</v>
      </c>
    </row>
    <row r="34" spans="1:6">
      <c r="A34" s="357">
        <v>46022</v>
      </c>
      <c r="B34" s="412" t="s">
        <v>477</v>
      </c>
      <c r="C34" s="343" t="s">
        <v>1015</v>
      </c>
      <c r="D34" s="343" t="s">
        <v>1048</v>
      </c>
      <c r="E34" s="437">
        <v>17000</v>
      </c>
      <c r="F34" s="355" t="s">
        <v>65</v>
      </c>
    </row>
    <row r="35" spans="1:6">
      <c r="A35" s="357"/>
      <c r="B35" s="412"/>
      <c r="C35" s="343"/>
      <c r="D35" s="343"/>
      <c r="E35" s="436"/>
      <c r="F35" s="355"/>
    </row>
    <row r="36" spans="1:6">
      <c r="A36" s="357">
        <v>46022</v>
      </c>
      <c r="B36" s="357"/>
      <c r="C36" s="343" t="s">
        <v>963</v>
      </c>
      <c r="D36" s="343"/>
      <c r="E36" s="437">
        <v>280500</v>
      </c>
      <c r="F36" s="355" t="s">
        <v>977</v>
      </c>
    </row>
    <row r="37" spans="1:6">
      <c r="A37" s="357">
        <v>46028</v>
      </c>
      <c r="B37" s="412" t="s">
        <v>477</v>
      </c>
      <c r="C37" s="343" t="s">
        <v>1016</v>
      </c>
      <c r="D37" s="343"/>
      <c r="E37" s="437">
        <v>1117</v>
      </c>
      <c r="F37" s="355" t="s">
        <v>978</v>
      </c>
    </row>
    <row r="38" spans="1:6">
      <c r="A38" s="357">
        <v>46028</v>
      </c>
      <c r="B38" s="412" t="s">
        <v>477</v>
      </c>
      <c r="C38" s="343" t="s">
        <v>989</v>
      </c>
      <c r="D38" s="343"/>
      <c r="E38" s="437">
        <v>4070</v>
      </c>
      <c r="F38" s="355" t="s">
        <v>65</v>
      </c>
    </row>
    <row r="39" spans="1:6">
      <c r="A39" s="357">
        <v>46029</v>
      </c>
      <c r="B39" s="412" t="s">
        <v>477</v>
      </c>
      <c r="C39" s="343" t="s">
        <v>1016</v>
      </c>
      <c r="D39" s="343"/>
      <c r="E39" s="437">
        <v>1344</v>
      </c>
      <c r="F39" s="355" t="s">
        <v>978</v>
      </c>
    </row>
    <row r="40" spans="1:6">
      <c r="A40" s="265">
        <v>46043</v>
      </c>
      <c r="B40" s="412" t="s">
        <v>477</v>
      </c>
      <c r="C40" s="343" t="s">
        <v>1037</v>
      </c>
      <c r="D40" s="343" t="s">
        <v>1050</v>
      </c>
      <c r="E40" s="435">
        <v>3400</v>
      </c>
      <c r="F40" s="355" t="s">
        <v>979</v>
      </c>
    </row>
    <row r="41" spans="1:6" ht="15.6">
      <c r="A41" s="265"/>
      <c r="B41" s="357"/>
      <c r="C41" s="343"/>
      <c r="D41" s="377"/>
      <c r="E41" s="434"/>
      <c r="F41" s="355"/>
    </row>
    <row r="42" spans="1:6" ht="15.6">
      <c r="A42" s="265"/>
      <c r="B42" s="357"/>
      <c r="C42" s="343"/>
      <c r="D42" s="377"/>
      <c r="E42" s="434"/>
      <c r="F42" s="355"/>
    </row>
    <row r="43" spans="1:6" ht="15.6">
      <c r="A43" s="265"/>
      <c r="B43" s="357"/>
      <c r="C43" s="343"/>
      <c r="D43" s="377"/>
      <c r="E43" s="434"/>
      <c r="F43" s="355"/>
    </row>
    <row r="44" spans="1:6" ht="15.6">
      <c r="A44" s="265"/>
      <c r="B44" s="357"/>
      <c r="C44" s="343"/>
      <c r="D44" s="377"/>
      <c r="E44" s="434"/>
      <c r="F44" s="355"/>
    </row>
    <row r="45" spans="1:6" ht="15.6">
      <c r="A45" s="265"/>
      <c r="B45" s="357"/>
      <c r="C45" s="343"/>
      <c r="D45" s="377"/>
      <c r="E45" s="434"/>
      <c r="F45" s="355"/>
    </row>
    <row r="46" spans="1:6" ht="15.6">
      <c r="A46" s="265"/>
      <c r="B46" s="357"/>
      <c r="C46" s="343"/>
      <c r="D46" s="377"/>
      <c r="E46" s="434"/>
      <c r="F46" s="355"/>
    </row>
    <row r="47" spans="1:6" ht="15.6">
      <c r="A47" s="265"/>
      <c r="B47" s="357"/>
      <c r="C47" s="343"/>
      <c r="D47" s="377"/>
      <c r="E47" s="434"/>
      <c r="F47" s="355"/>
    </row>
    <row r="48" spans="1:6" ht="15.6">
      <c r="A48" s="265"/>
      <c r="B48" s="357"/>
      <c r="C48" s="343"/>
      <c r="D48" s="377"/>
      <c r="E48" s="434"/>
      <c r="F48" s="355"/>
    </row>
    <row r="49" spans="1:6">
      <c r="A49" s="265"/>
      <c r="B49" s="357"/>
      <c r="C49" s="343"/>
      <c r="D49" s="343"/>
      <c r="F49" s="355"/>
    </row>
    <row r="50" spans="1:6">
      <c r="A50" s="265"/>
      <c r="B50" s="357"/>
      <c r="C50" s="343"/>
      <c r="D50" s="343"/>
      <c r="F50" s="355"/>
    </row>
    <row r="51" spans="1:6">
      <c r="A51" s="265"/>
      <c r="B51" s="357"/>
      <c r="C51" s="343"/>
      <c r="D51" s="343"/>
      <c r="F51" s="355"/>
    </row>
    <row r="52" spans="1:6">
      <c r="A52" s="265"/>
      <c r="B52" s="357"/>
      <c r="C52" s="343"/>
      <c r="D52" s="343"/>
      <c r="F52" s="355"/>
    </row>
    <row r="53" spans="1:6">
      <c r="A53" s="378"/>
      <c r="B53" s="357"/>
      <c r="C53" s="343"/>
      <c r="D53" s="343"/>
      <c r="E53" s="438"/>
      <c r="F53" s="380"/>
    </row>
    <row r="54" spans="1:6">
      <c r="A54" s="378"/>
      <c r="B54" s="357"/>
      <c r="C54" s="379"/>
      <c r="D54" s="379"/>
      <c r="E54" s="439"/>
      <c r="F54" s="380"/>
    </row>
    <row r="55" spans="1:6">
      <c r="A55" s="378"/>
      <c r="B55" s="441"/>
      <c r="C55" s="379"/>
      <c r="D55" s="432"/>
      <c r="E55" s="439"/>
      <c r="F55" s="380"/>
    </row>
    <row r="56" spans="1:6">
      <c r="A56" s="265"/>
      <c r="B56" s="357"/>
      <c r="C56" s="379"/>
      <c r="D56" s="379"/>
      <c r="E56" s="439"/>
      <c r="F56" s="380"/>
    </row>
    <row r="57" spans="1:6">
      <c r="A57" s="265"/>
      <c r="B57" s="357"/>
      <c r="C57" s="379"/>
      <c r="D57" s="379"/>
      <c r="E57" s="439"/>
      <c r="F57" s="380"/>
    </row>
    <row r="58" spans="1:6">
      <c r="A58" s="265"/>
      <c r="B58" s="357"/>
      <c r="C58" s="379"/>
      <c r="D58" s="379"/>
      <c r="E58" s="440"/>
      <c r="F58" s="379"/>
    </row>
    <row r="59" spans="1:6">
      <c r="A59" s="265"/>
      <c r="B59" s="357"/>
      <c r="C59" s="379"/>
      <c r="D59" s="379"/>
      <c r="E59" s="440"/>
      <c r="F59" s="379"/>
    </row>
    <row r="60" spans="1:6">
      <c r="A60" s="265"/>
      <c r="B60" s="357"/>
      <c r="C60" s="379"/>
      <c r="D60" s="379"/>
      <c r="E60" s="440"/>
      <c r="F60" s="379"/>
    </row>
    <row r="61" spans="1:6">
      <c r="A61" s="265"/>
      <c r="B61" s="357"/>
      <c r="C61" s="379"/>
      <c r="D61" s="379"/>
      <c r="E61" s="440"/>
      <c r="F61" s="379"/>
    </row>
    <row r="62" spans="1:6">
      <c r="A62" s="265"/>
      <c r="B62" s="357"/>
      <c r="C62" s="379"/>
      <c r="D62" s="379"/>
      <c r="E62" s="440"/>
      <c r="F62" s="379"/>
    </row>
    <row r="63" spans="1:6">
      <c r="A63" s="265"/>
      <c r="B63" s="357"/>
      <c r="C63" s="379"/>
      <c r="D63" s="379"/>
      <c r="E63" s="440"/>
      <c r="F63" s="379"/>
    </row>
    <row r="64" spans="1:6">
      <c r="A64" s="265"/>
      <c r="B64" s="357"/>
      <c r="C64" s="379"/>
      <c r="D64" s="379"/>
      <c r="E64" s="440"/>
      <c r="F64" s="379"/>
    </row>
    <row r="65" spans="1:6">
      <c r="A65" s="265"/>
      <c r="B65" s="357"/>
      <c r="C65" s="379"/>
      <c r="D65" s="379"/>
      <c r="E65" s="440"/>
      <c r="F65" s="379"/>
    </row>
    <row r="66" spans="1:6">
      <c r="A66" s="265"/>
      <c r="B66" s="357"/>
      <c r="C66" s="379"/>
      <c r="D66" s="379"/>
      <c r="E66" s="440"/>
      <c r="F66" s="379"/>
    </row>
    <row r="67" spans="1:6">
      <c r="A67" s="265"/>
      <c r="B67" s="357"/>
      <c r="C67" s="379"/>
      <c r="D67" s="379"/>
      <c r="E67" s="440"/>
      <c r="F67" s="379"/>
    </row>
    <row r="68" spans="1:6">
      <c r="A68" s="265"/>
      <c r="B68" s="357"/>
      <c r="C68" s="379"/>
      <c r="D68" s="379"/>
      <c r="E68" s="440"/>
      <c r="F68" s="379"/>
    </row>
    <row r="69" spans="1:6">
      <c r="A69" s="265"/>
      <c r="B69" s="357"/>
      <c r="C69" s="379"/>
      <c r="D69" s="379"/>
      <c r="E69" s="440"/>
      <c r="F69" s="379"/>
    </row>
    <row r="70" spans="1:6">
      <c r="A70" s="265"/>
      <c r="B70" s="357"/>
      <c r="C70" s="379"/>
      <c r="D70" s="379"/>
      <c r="E70" s="440"/>
      <c r="F70" s="379"/>
    </row>
    <row r="71" spans="1:6">
      <c r="A71" s="265"/>
      <c r="B71" s="357"/>
      <c r="C71" s="379"/>
      <c r="D71" s="379"/>
      <c r="E71" s="440"/>
      <c r="F71" s="379"/>
    </row>
    <row r="72" spans="1:6">
      <c r="A72" s="265"/>
      <c r="B72" s="357"/>
      <c r="C72" s="379"/>
      <c r="D72" s="379"/>
      <c r="E72" s="440"/>
      <c r="F72" s="379"/>
    </row>
    <row r="73" spans="1:6">
      <c r="A73" s="265"/>
      <c r="B73" s="357"/>
      <c r="C73" s="379"/>
      <c r="D73" s="379"/>
      <c r="E73" s="440"/>
      <c r="F73" s="379"/>
    </row>
    <row r="74" spans="1:6">
      <c r="A74" s="265"/>
      <c r="B74" s="357"/>
      <c r="C74" s="379"/>
      <c r="D74" s="379"/>
      <c r="E74" s="440"/>
      <c r="F74" s="379"/>
    </row>
    <row r="75" spans="1:6">
      <c r="A75" s="265"/>
      <c r="B75" s="357"/>
      <c r="C75" s="379"/>
      <c r="D75" s="379"/>
      <c r="E75" s="440"/>
      <c r="F75" s="379"/>
    </row>
    <row r="76" spans="1:6">
      <c r="A76" s="265"/>
      <c r="B76" s="357"/>
      <c r="C76" s="379"/>
      <c r="D76" s="379"/>
      <c r="E76" s="440"/>
      <c r="F76" s="379"/>
    </row>
    <row r="77" spans="1:6">
      <c r="A77" s="265"/>
      <c r="B77" s="357"/>
      <c r="C77" s="379"/>
      <c r="D77" s="379"/>
      <c r="E77" s="440"/>
      <c r="F77" s="379"/>
    </row>
    <row r="78" spans="1:6">
      <c r="A78" s="265"/>
      <c r="B78" s="357"/>
      <c r="C78" s="379"/>
      <c r="D78" s="379"/>
      <c r="E78" s="440"/>
      <c r="F78" s="379"/>
    </row>
    <row r="79" spans="1:6">
      <c r="A79" s="265"/>
      <c r="C79" s="379"/>
      <c r="D79" s="379"/>
      <c r="E79" s="440"/>
      <c r="F79" s="379"/>
    </row>
    <row r="80" spans="1:6">
      <c r="A80" s="265"/>
      <c r="C80" s="379"/>
      <c r="D80" s="379"/>
      <c r="E80" s="440"/>
      <c r="F80" s="379"/>
    </row>
    <row r="81" spans="1:6">
      <c r="A81" s="265"/>
      <c r="C81" s="379"/>
      <c r="D81" s="379"/>
      <c r="E81" s="440"/>
      <c r="F81" s="379"/>
    </row>
    <row r="82" spans="1:6">
      <c r="A82" s="265"/>
      <c r="B82" s="357"/>
      <c r="C82" s="343"/>
      <c r="F82" s="355"/>
    </row>
    <row r="83" spans="1:6">
      <c r="A83" s="265"/>
      <c r="B83" s="357"/>
      <c r="C83" s="343"/>
      <c r="F83" s="355"/>
    </row>
    <row r="84" spans="1:6">
      <c r="A84" s="265"/>
      <c r="B84" s="357"/>
      <c r="C84" s="343"/>
      <c r="F84" s="355"/>
    </row>
    <row r="85" spans="1:6">
      <c r="A85" s="265"/>
      <c r="B85" s="357"/>
      <c r="C85" s="343"/>
      <c r="F85" s="355"/>
    </row>
    <row r="91" spans="1:6">
      <c r="D91" s="392"/>
    </row>
  </sheetData>
  <autoFilter ref="A1:F83" xr:uid="{00000000-0009-0000-0000-000005000000}"/>
  <phoneticPr fontId="5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Income!$M$2:$M$3</xm:f>
          </x14:formula1>
          <xm:sqref>B82:B85 B43:B78 B2:B35</xm:sqref>
        </x14:dataValidation>
        <x14:dataValidation type="list" allowBlank="1" showInputMessage="1" showErrorMessage="1" xr:uid="{00000000-0002-0000-0500-000001000000}">
          <x14:formula1>
            <xm:f>Income!$O$2:$O$8</xm:f>
          </x14:formula1>
          <xm:sqref>F82:F85 F53:F57 F2:F33 F35:F51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56"/>
  <sheetViews>
    <sheetView topLeftCell="D4" zoomScale="98" zoomScaleNormal="98" workbookViewId="0">
      <selection activeCell="L5" sqref="L5"/>
    </sheetView>
  </sheetViews>
  <sheetFormatPr defaultRowHeight="14.4"/>
  <cols>
    <col min="1" max="1" width="14.21875" style="387" bestFit="1" customWidth="1"/>
    <col min="2" max="2" width="14.33203125" style="387" bestFit="1" customWidth="1"/>
    <col min="3" max="3" width="14.33203125" bestFit="1" customWidth="1"/>
    <col min="8" max="8" width="17.33203125" bestFit="1" customWidth="1"/>
  </cols>
  <sheetData>
    <row r="1" spans="1:8">
      <c r="A1" s="509"/>
      <c r="B1" s="509"/>
    </row>
    <row r="2" spans="1:8">
      <c r="A2" s="510">
        <v>45911</v>
      </c>
      <c r="B2" s="510"/>
    </row>
    <row r="3" spans="1:8">
      <c r="A3" s="424" t="s">
        <v>1001</v>
      </c>
      <c r="B3" s="387" t="s">
        <v>1008</v>
      </c>
    </row>
    <row r="4" spans="1:8">
      <c r="A4" s="425" t="s">
        <v>506</v>
      </c>
      <c r="B4" s="427"/>
    </row>
    <row r="5" spans="1:8">
      <c r="A5" s="426" t="s">
        <v>477</v>
      </c>
      <c r="B5" s="427">
        <v>6670</v>
      </c>
    </row>
    <row r="6" spans="1:8">
      <c r="A6" s="426" t="s">
        <v>462</v>
      </c>
      <c r="B6" s="427">
        <v>13180</v>
      </c>
    </row>
    <row r="7" spans="1:8">
      <c r="A7" s="425" t="s">
        <v>1014</v>
      </c>
      <c r="B7" s="427">
        <v>19850</v>
      </c>
    </row>
    <row r="8" spans="1:8">
      <c r="A8" s="425" t="s">
        <v>1015</v>
      </c>
      <c r="B8" s="427"/>
    </row>
    <row r="9" spans="1:8">
      <c r="A9" s="426" t="s">
        <v>462</v>
      </c>
      <c r="B9" s="427">
        <v>4500</v>
      </c>
      <c r="H9" s="381"/>
    </row>
    <row r="10" spans="1:8">
      <c r="A10" s="425" t="s">
        <v>1031</v>
      </c>
      <c r="B10" s="427">
        <v>4500</v>
      </c>
      <c r="H10" s="382"/>
    </row>
    <row r="11" spans="1:8">
      <c r="A11" s="425" t="s">
        <v>505</v>
      </c>
      <c r="B11" s="427"/>
      <c r="H11" s="381"/>
    </row>
    <row r="12" spans="1:8">
      <c r="A12" s="426" t="s">
        <v>477</v>
      </c>
      <c r="B12" s="427">
        <v>15600</v>
      </c>
      <c r="H12" s="382"/>
    </row>
    <row r="13" spans="1:8">
      <c r="A13" s="426" t="s">
        <v>462</v>
      </c>
      <c r="B13" s="427">
        <v>17000</v>
      </c>
      <c r="H13" s="381"/>
    </row>
    <row r="14" spans="1:8">
      <c r="A14" s="425" t="s">
        <v>1026</v>
      </c>
      <c r="B14" s="427">
        <v>32600</v>
      </c>
      <c r="H14" s="382"/>
    </row>
    <row r="15" spans="1:8">
      <c r="A15" s="425" t="s">
        <v>1012</v>
      </c>
      <c r="B15" s="427"/>
      <c r="H15" s="381"/>
    </row>
    <row r="16" spans="1:8">
      <c r="A16" s="426" t="s">
        <v>477</v>
      </c>
      <c r="B16" s="427">
        <v>115800</v>
      </c>
      <c r="H16" s="382"/>
    </row>
    <row r="17" spans="1:8">
      <c r="A17" s="426" t="s">
        <v>462</v>
      </c>
      <c r="B17" s="427">
        <v>98300</v>
      </c>
      <c r="H17" s="381"/>
    </row>
    <row r="18" spans="1:8">
      <c r="A18" s="425" t="s">
        <v>1024</v>
      </c>
      <c r="B18" s="427">
        <v>214100</v>
      </c>
      <c r="H18" s="382"/>
    </row>
    <row r="19" spans="1:8">
      <c r="A19" s="425" t="s">
        <v>1028</v>
      </c>
      <c r="B19" s="427"/>
      <c r="H19" s="381"/>
    </row>
    <row r="20" spans="1:8">
      <c r="A20" s="426" t="s">
        <v>1028</v>
      </c>
      <c r="B20" s="427"/>
      <c r="H20" s="382"/>
    </row>
    <row r="21" spans="1:8">
      <c r="A21" s="425" t="s">
        <v>1029</v>
      </c>
      <c r="B21" s="427"/>
      <c r="H21" s="381"/>
    </row>
    <row r="22" spans="1:8">
      <c r="A22" s="425" t="s">
        <v>963</v>
      </c>
      <c r="B22" s="427"/>
      <c r="H22" s="382"/>
    </row>
    <row r="23" spans="1:8">
      <c r="A23" s="426" t="s">
        <v>1028</v>
      </c>
      <c r="B23" s="427">
        <v>274050</v>
      </c>
      <c r="H23" s="381"/>
    </row>
    <row r="24" spans="1:8">
      <c r="A24" s="425" t="s">
        <v>1030</v>
      </c>
      <c r="B24" s="427">
        <v>274050</v>
      </c>
      <c r="H24" s="382"/>
    </row>
    <row r="25" spans="1:8">
      <c r="A25" s="425" t="s">
        <v>1013</v>
      </c>
      <c r="B25" s="427"/>
      <c r="H25" s="381"/>
    </row>
    <row r="26" spans="1:8">
      <c r="A26" s="426" t="s">
        <v>477</v>
      </c>
      <c r="B26" s="427">
        <v>2900</v>
      </c>
      <c r="H26" s="382"/>
    </row>
    <row r="27" spans="1:8">
      <c r="A27" s="425" t="s">
        <v>1027</v>
      </c>
      <c r="B27" s="427">
        <v>2900</v>
      </c>
      <c r="H27" s="381"/>
    </row>
    <row r="28" spans="1:8">
      <c r="A28" s="425" t="s">
        <v>965</v>
      </c>
      <c r="B28" s="427"/>
      <c r="H28" s="382"/>
    </row>
    <row r="29" spans="1:8">
      <c r="A29" s="426" t="s">
        <v>477</v>
      </c>
      <c r="B29" s="427">
        <v>1350</v>
      </c>
      <c r="H29" s="381"/>
    </row>
    <row r="30" spans="1:8">
      <c r="A30" s="426" t="s">
        <v>462</v>
      </c>
      <c r="B30" s="427">
        <v>4200</v>
      </c>
      <c r="H30" s="382"/>
    </row>
    <row r="31" spans="1:8">
      <c r="A31" s="425" t="s">
        <v>1022</v>
      </c>
      <c r="B31" s="427">
        <v>5550</v>
      </c>
      <c r="H31" s="381"/>
    </row>
    <row r="32" spans="1:8">
      <c r="A32" s="425" t="s">
        <v>1016</v>
      </c>
      <c r="B32" s="427"/>
      <c r="H32" s="382"/>
    </row>
    <row r="33" spans="1:8">
      <c r="A33" s="426" t="s">
        <v>477</v>
      </c>
      <c r="B33" s="427">
        <v>1647</v>
      </c>
      <c r="H33" s="381"/>
    </row>
    <row r="34" spans="1:8">
      <c r="A34" s="426" t="s">
        <v>462</v>
      </c>
      <c r="B34" s="427">
        <v>432</v>
      </c>
      <c r="H34" s="382"/>
    </row>
    <row r="35" spans="1:8">
      <c r="A35" s="425" t="s">
        <v>1023</v>
      </c>
      <c r="B35" s="427">
        <v>2079</v>
      </c>
      <c r="H35" s="381"/>
    </row>
    <row r="36" spans="1:8">
      <c r="A36" s="425" t="s">
        <v>989</v>
      </c>
      <c r="B36" s="427"/>
      <c r="H36" s="382"/>
    </row>
    <row r="37" spans="1:8">
      <c r="A37" s="426" t="s">
        <v>462</v>
      </c>
      <c r="B37" s="427">
        <v>2000</v>
      </c>
      <c r="H37" s="381"/>
    </row>
    <row r="38" spans="1:8">
      <c r="A38" s="425" t="s">
        <v>1032</v>
      </c>
      <c r="B38" s="427">
        <v>2000</v>
      </c>
      <c r="H38" s="382"/>
    </row>
    <row r="39" spans="1:8">
      <c r="A39" s="425" t="s">
        <v>1002</v>
      </c>
      <c r="B39" s="427">
        <v>557629</v>
      </c>
      <c r="H39" s="381"/>
    </row>
    <row r="40" spans="1:8">
      <c r="H40" s="382"/>
    </row>
    <row r="41" spans="1:8">
      <c r="H41" s="381"/>
    </row>
    <row r="42" spans="1:8">
      <c r="H42" s="382"/>
    </row>
    <row r="43" spans="1:8">
      <c r="H43" s="381"/>
    </row>
    <row r="44" spans="1:8">
      <c r="H44" s="382"/>
    </row>
    <row r="45" spans="1:8">
      <c r="H45" s="381"/>
    </row>
    <row r="46" spans="1:8">
      <c r="H46" s="382"/>
    </row>
    <row r="47" spans="1:8">
      <c r="H47" s="381"/>
    </row>
    <row r="48" spans="1:8">
      <c r="H48" s="382"/>
    </row>
    <row r="49" spans="8:8">
      <c r="H49" s="381"/>
    </row>
    <row r="50" spans="8:8">
      <c r="H50" s="382"/>
    </row>
    <row r="51" spans="8:8">
      <c r="H51" s="382"/>
    </row>
    <row r="52" spans="8:8">
      <c r="H52" s="381"/>
    </row>
    <row r="53" spans="8:8">
      <c r="H53" s="382"/>
    </row>
    <row r="54" spans="8:8">
      <c r="H54" s="382"/>
    </row>
    <row r="55" spans="8:8">
      <c r="H55" s="382"/>
    </row>
    <row r="56" spans="8:8">
      <c r="H56" s="381"/>
    </row>
  </sheetData>
  <mergeCells count="2">
    <mergeCell ref="A1:B1"/>
    <mergeCell ref="A2:B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D2E6-E1CD-4EF5-A4F6-2ACB6C4AD365}">
  <dimension ref="A1"/>
  <sheetViews>
    <sheetView workbookViewId="0">
      <selection activeCell="F23" sqref="F23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MS New</vt:lpstr>
      <vt:lpstr>tfr</vt:lpstr>
      <vt:lpstr>Income</vt:lpstr>
      <vt:lpstr>Br1 Income Exp - AugSep 25</vt:lpstr>
      <vt:lpstr>Br2 Income Exp - AugSep 25</vt:lpstr>
      <vt:lpstr>Expense</vt:lpstr>
      <vt:lpstr>pivot expense</vt:lpstr>
      <vt:lpstr>pivot income</vt:lpstr>
      <vt:lpstr>Income!Print_Titles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Display center</dc:creator>
  <cp:lastModifiedBy>Syed Shah Mir Ul Hassan</cp:lastModifiedBy>
  <cp:lastPrinted>2025-10-03T05:41:55Z</cp:lastPrinted>
  <dcterms:created xsi:type="dcterms:W3CDTF">2020-10-05T05:41:12Z</dcterms:created>
  <dcterms:modified xsi:type="dcterms:W3CDTF">2026-02-03T05:36:26Z</dcterms:modified>
</cp:coreProperties>
</file>